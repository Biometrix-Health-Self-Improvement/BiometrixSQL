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activeTab="8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3" i="2"/>
  <c r="E12" i="2"/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5" i="2"/>
</calcChain>
</file>

<file path=xl/sharedStrings.xml><?xml version="1.0" encoding="utf-8"?>
<sst xmlns="http://schemas.openxmlformats.org/spreadsheetml/2006/main" count="520" uniqueCount="226">
  <si>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</si>
  <si>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</si>
  <si>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</si>
  <si>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</si>
  <si>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</si>
  <si>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</si>
  <si>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</si>
  <si>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</si>
  <si>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</si>
  <si>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</si>
  <si>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</si>
  <si>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</si>
  <si>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</si>
  <si>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</si>
  <si>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</si>
  <si>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</si>
  <si>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</si>
  <si>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</si>
  <si>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</si>
  <si>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</si>
  <si>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</si>
  <si>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</si>
  <si>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</si>
  <si>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</si>
  <si>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</si>
  <si>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</si>
  <si>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</si>
  <si>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</si>
  <si>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</si>
  <si>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</si>
  <si>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</si>
  <si>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</si>
  <si>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</si>
  <si>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</si>
  <si>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</si>
  <si>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</si>
  <si>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</si>
  <si>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</si>
  <si>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</si>
  <si>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</si>
  <si>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</si>
  <si>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</si>
  <si>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</si>
  <si>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</si>
  <si>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</si>
  <si>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</si>
  <si>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</si>
  <si>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</si>
  <si>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</si>
  <si>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NULL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</si>
  <si>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</si>
  <si>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</si>
  <si>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</si>
  <si>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</si>
  <si>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</si>
  <si>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</si>
  <si>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</si>
  <si>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</si>
  <si>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</si>
  <si>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</si>
  <si>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</si>
  <si>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</si>
  <si>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</si>
  <si>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</si>
  <si>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</si>
  <si>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</si>
  <si>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</si>
  <si>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</si>
  <si>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</si>
  <si>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</si>
  <si>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</si>
  <si>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</si>
  <si>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</si>
  <si>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</si>
  <si>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</si>
  <si>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</si>
  <si>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</si>
  <si>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</si>
  <si>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</si>
  <si>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</si>
  <si>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</si>
  <si>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</si>
  <si>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</si>
  <si>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</si>
  <si>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</si>
  <si>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</si>
  <si>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</si>
  <si>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</si>
  <si>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</si>
  <si>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</si>
  <si>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</si>
  <si>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</si>
  <si>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</si>
  <si>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</si>
  <si>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</si>
  <si>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</si>
  <si>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</si>
  <si>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</si>
  <si>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</si>
  <si>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</si>
  <si>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</si>
  <si>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</si>
  <si>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</si>
  <si>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</si>
  <si>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</si>
  <si>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</si>
  <si>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</si>
  <si>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</si>
  <si>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VARCHAR(300)</t>
  </si>
  <si>
    <t>varchar(300)</t>
  </si>
  <si>
    <t>DURATION</t>
  </si>
  <si>
    <t>QUALITY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</si>
  <si>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</si>
  <si>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</si>
  <si>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</si>
  <si>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</si>
  <si>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</si>
  <si>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</si>
  <si>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</si>
  <si>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</si>
  <si>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</si>
  <si>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</si>
  <si>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</si>
  <si>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</si>
  <si>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</si>
  <si>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</si>
  <si>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</si>
  <si>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</si>
  <si>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</si>
  <si>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</si>
  <si>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</si>
  <si>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</si>
  <si>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</si>
  <si>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</si>
  <si>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</si>
  <si>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</si>
  <si>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</si>
  <si>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</si>
  <si>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</si>
  <si>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</si>
  <si>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</si>
  <si>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</si>
  <si>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</si>
  <si>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</si>
  <si>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</si>
  <si>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</si>
  <si>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</si>
  <si>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</si>
  <si>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</si>
  <si>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</si>
  <si>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</si>
  <si>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</si>
  <si>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</si>
  <si>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</si>
  <si>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</si>
  <si>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</si>
  <si>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</si>
  <si>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</si>
  <si>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</si>
  <si>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</si>
  <si>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</si>
  <si>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</si>
  <si>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</si>
  <si>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</si>
  <si>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</si>
  <si>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</si>
  <si>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</si>
  <si>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</si>
  <si>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</si>
  <si>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</si>
  <si>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</si>
  <si>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</si>
  <si>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</si>
  <si>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</si>
  <si>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</si>
  <si>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</si>
  <si>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</si>
  <si>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</si>
  <si>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</si>
  <si>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</si>
  <si>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</si>
  <si>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</si>
  <si>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</si>
  <si>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</si>
  <si>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</si>
  <si>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</t>
  </si>
  <si>
    <t>public static final String[] columns = {LOCAL_SLEEP_ID, USER_NAME, WEB_SLEEP_ID, DATE, _x000D_
TIME, DURATION, QUALITY, NOTES};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</si>
  <si>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[Notes])_x000D_
Values_x000D_
(@UserID2, @LocalSleepID2, @Date, @Time, @Duration, @Quality2, @Notes)_x000D_
_x000D_
Select [LocalSleepID], [WebSleepID] From dbo.Sleep_x000D_
Where [UserID] = @UserID2 AND [LocalSleepID] = @LocalSleepID2_x000D_
GO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</si>
  <si>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@UserID2_x000D_
Select @@RowCount as NumRows_x000D_
GO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</si>
  <si>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_x000D_
if ($operation == "Update")_x000D_
{_x000D_
	$cols["8"] = "WebSleepID";_x000D_
}_x000D_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</si>
  <si>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8;_x000D_
_x000D_
$cols = array();_x000D_
$cols[0] = "WebSleepID";_x000D_
$cols[1] = "UserID";_x000D_
$cols[2] = "LocalSleepID";_x000D_
$cols[3] = "Date";_x000D_
$cols[4] = "Time";_x000D_
$cols[5] = "Duration";_x000D_
$cols[6] = "Quality";_x000D_
$cols[7] = "Notes";_x000D_
break;</t>
  </si>
  <si>
    <t>time Null</t>
  </si>
  <si>
    <t>return "CREATE TABLE " + TABLE_NAME + " ( " +_x000D_
LOCAL_SLEEP_ID + " integer primary key autoincrement, " +_x000D_
USER_NAME + " varchar(50) Not Null, " +_x000D_
WEB_SLEEP_ID + " int Null, " +_x000D_
DATE + " date Not Null, " +_x000D_
TIME + " time Not Null, " +_x000D_
DURATION + " time Null, " +_x000D_
QUALITY + " int Null, " +_x000D_
NOTES + " varchar(300)" +");";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</si>
  <si>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NULL_x000D_
	, [Quality] INT NULL_x000D_
	, [Notes] VARCHAR(300) NULL_x000D_
);_x000D_
GO</t>
  </si>
  <si>
    <t>varchar(40) Null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</si>
  <si>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</si>
  <si>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@UserID2_x000D_
Select @@RowCount as NumRows_x000D_
GO</t>
  </si>
  <si>
    <t>varchar(255) Null</t>
  </si>
  <si>
    <t>varchar(140) Null</t>
  </si>
  <si>
    <t>tinyint Null</t>
  </si>
  <si>
    <t>return "CREATE TABLE " + TABLE_NAME + " ( " +_x000D_
LOCAL_EXERCISE_ID + " integer primary key autoincrement, " +_x000D_
USER_NAME + " varchar(50) Not Null, " +_x000D_
WEB_EXERCISE_ID + " int Null, " +_x000D_
TITLE + " varchar(255) Null, " +_x000D_
TYPE + " varchar(140) Null, " +_x000D_
MINUTES + " tinyint Null, " +_x000D_
INTY + " tinyint Null, " +_x000D_
NOTES + " varchar(255) Null, " +_x000D_
DATE + " date Not Null, " +_x000D_
TIME + " time Not Null" +");";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</si>
  <si>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TIME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</si>
  <si>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TIME_x000D_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</si>
  <si>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convert(varchar(5), TimeEx, 114)";_x000D_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</si>
  <si>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return "CREATE TABLE " + TABLE_NAME + " ( " +_x000D_
LOCAL_MEDICATION_ID + " integer primary key autoincrement, " +_x000D_
USER_NAME + " varchar(50) Not Null, " +_x000D_
WEB_MEDICATION_ID + " int Null, " +_x000D_
DATE + " date Not Null,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varchar(255) null" +");";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</si>
  <si>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@UserID2_x000D_
Select @@RowCount as NumRows_x000D_
GO</t>
  </si>
  <si>
    <t>Sad</t>
  </si>
  <si>
    <t>Happy</t>
  </si>
  <si>
    <t>Anger</t>
  </si>
  <si>
    <t>SAD</t>
  </si>
  <si>
    <t>HAPPY</t>
  </si>
  <si>
    <t>ANGER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</si>
  <si>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SAD + " int Null, " +_x000D_
HAPPY + " int Null, " +_x000D_
ANGER + " int Null, " +_x000D_
NOTE + " varchar(255)" +");";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</si>
  <si>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SAD = "Sad";_x000D_
public static final String HAPPY = "Happy";_x000D_
public static final String ANGER = "Anger";_x000D_
public static final String NOTE = "Notes";</t>
  </si>
  <si>
    <t>public static final String[] cols = {LOCAL_MOOD_ID, USER_NAME, WEB_MOOD_ID, DATE, _x000D_
TIME, DEP, ELEV, IRR, ANX, SAD, HAPPY, ANGER, NOTE};</t>
  </si>
  <si>
    <t>public static final String[] intcols = {DEP, ELEV, IRR, ANX, SAD, HAPPY, ANGER};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</si>
  <si>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[Sad] INT NULL_x000D_
	, [Happy] INT NULL_x000D_
	, [Anger]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</si>
  <si>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@Sad VARCHAR(50), @Happy VARCHAR(50), @Anger VARCHAR(50), 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@Sad2 INT;_x000D_
SET @Sad2 = TRY_CONVERT(INT, @Sad);_x000D_
IF @Sad = ''_x000D_
BEGIN_x000D_
	SET @Sad2 = NULL;_x000D_
END_x000D_
_x000D_
DECLARE @Happy2 INT;_x000D_
SET @Happy2 = TRY_CONVERT(INT, @Happy);_x000D_
IF @Happy = ''_x000D_
BEGIN_x000D_
	SET @Happy2 = NULL;_x000D_
END_x000D_
_x000D_
DECLARE @Anger2 INT;_x000D_
SET @Anger2 = TRY_CONVERT(INT, @Anger);_x000D_
IF @Anger = ''_x000D_
BEGIN_x000D_
	SET @Anger2 = NULL;_x000D_
END_x000D_
_x000D_
Insert Into dbo.Mood_x000D_
([UserID], [LocalMoodID], [Date], [Time], [Depression], [Elevated], [Irritable], [Anxiety], [Sad], [Happy], _x000D_
[Anger], [Notes])_x000D_
Values_x000D_
(@UserID2, @LocalMoodID2, @Date, @Time, @Depression2, @Elevated2, @Irritable2, @Anxiety2, @Sad2, @Happy2, _x000D_
@Anger2, @Notes)_x000D_
_x000D_
Select [LocalMoodID], [WebMoodID] From dbo.Mood_x000D_
Where [UserID] = @UserID2 AND [LocalMoodID] = @LocalMoodID2_x000D_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</si>
  <si>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@UserID2_x000D_
Select @@RowCount as NumRows_x000D_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</si>
  <si>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@Sad = :Sad";_x000D_
$prep_string = $prep_string . ", @Happy = :Happy";_x000D_
$prep_string = $prep_string . ", @Anger = :Anger";_x000D_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"Sad";_x000D_
$cols["10"] = "Happy";_x000D_
$cols["11"] = "Anger";_x000D_
$cols["12"] = "Notes";_x000D_
_x000D_
if ($operation == "Update")_x000D_
{_x000D_
	$cols["13"] = "WebMoodID";_x000D_
}_x000D_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</si>
  <si>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Sad";_x000D_
$prep_string = $prep_string . ", Happy";_x000D_
$prep_string = $prep_string . ", Anger";_x000D_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13;_x000D_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"Sad";_x000D_
$cols[10] = "Happy";_x000D_
$cols[11] = "Anger";_x000D_
$cols[12] = "Notes";_x000D_
break;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</si>
  <si>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NumRows, @WebDietID2 as WebID_x000D_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</si>
  <si>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TIME,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NumRows, @WebExerciseID2 as WebID_x000D_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</si>
  <si>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@Sad VARCHAR(50), @Happy VARCHAR(50), @Anger VARCHAR(50), 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@Sad2 INT;_x000D_
SET @Sad2 = TRY_CONVERT(INT, @Sad);_x000D_
IF @Sad = ''_x000D_
BEGIN_x000D_
	SET @Sad2 = NULL;_x000D_
END_x000D_
_x000D_
DECLARE @Happy2 INT;_x000D_
SET @Happy2 = TRY_CONVERT(INT, @Happy);_x000D_
IF @Happy = ''_x000D_
BEGIN_x000D_
	SET @Happy2 = NULL;_x000D_
END_x000D_
_x000D_
DECLARE @Anger2 INT;_x000D_
SET @Anger2 = TRY_CONVERT(INT, @Anger);_x000D_
IF @Anger = ''_x000D_
BEGIN_x000D_
	SET @Anger2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[Sad] = @Sad2, [Happy] = @Happy2, [Anger] = @Anger2, _x000D_
[Notes] = @Notes_x000D_
Where [WebMoodID] = @WebMoodID2 AND [UserID] = @UserID2_x000D_
Select @@RowCount as NumRows, @WebMoodID2 as WebID_x000D_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</si>
  <si>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NumRows, @WebMedicationID2 as WebID_x000D_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</si>
  <si>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@Notes_x000D_
Where [WebSleepID] = @WebSleepID2 AND [UserID] = @UserID2_x000D_
Select @@RowCount as NumRows, @WebSleepID2 as WebID_x000D_
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</si>
</sst>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125</v>
      </c>
    </row>
    <row r="2" spans="1:1" x14ac:dyDescent="0.25">
      <c r="A2" t="s">
        <v>126</v>
      </c>
    </row>
    <row r="4" spans="1:1" x14ac:dyDescent="0.25">
      <c r="A4" t="s">
        <v>131</v>
      </c>
    </row>
    <row r="5" spans="1:1" x14ac:dyDescent="0.25">
      <c r="A5" t="s">
        <v>127</v>
      </c>
    </row>
    <row r="6" spans="1:1" x14ac:dyDescent="0.25">
      <c r="A6" t="s">
        <v>128</v>
      </c>
    </row>
    <row r="7" spans="1:1" x14ac:dyDescent="0.25">
      <c r="A7" t="s">
        <v>129</v>
      </c>
    </row>
    <row r="8" spans="1:1" x14ac:dyDescent="0.25">
      <c r="A8" t="s">
        <v>130</v>
      </c>
    </row>
    <row r="10" spans="1:1" x14ac:dyDescent="0.25">
      <c r="A10" t="s">
        <v>132</v>
      </c>
    </row>
    <row r="11" spans="1:1" x14ac:dyDescent="0.25">
      <c r="A11" t="s">
        <v>133</v>
      </c>
    </row>
    <row r="12" spans="1:1" x14ac:dyDescent="0.25">
      <c r="A12" t="s">
        <v>134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16" sqref="D1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121</v>
      </c>
      <c r="E3" t="s">
        <v>36</v>
      </c>
      <c r="F3" t="s">
        <v>166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5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49</v>
      </c>
      <c r="E8" t="str">
        <f t="shared" si="0"/>
        <v>Depression</v>
      </c>
      <c r="F8" t="s">
        <v>42</v>
      </c>
      <c r="G8" t="s">
        <v>50</v>
      </c>
    </row>
    <row r="9" spans="1:8" x14ac:dyDescent="0.25">
      <c r="A9" t="s">
        <v>51</v>
      </c>
      <c r="B9" t="s">
        <v>16</v>
      </c>
      <c r="C9" t="s">
        <v>49</v>
      </c>
      <c r="E9" t="str">
        <f t="shared" si="0"/>
        <v>Elevated</v>
      </c>
      <c r="F9" t="s">
        <v>42</v>
      </c>
      <c r="G9" t="s">
        <v>52</v>
      </c>
    </row>
    <row r="10" spans="1:8" x14ac:dyDescent="0.25">
      <c r="A10" t="s">
        <v>53</v>
      </c>
      <c r="B10" t="s">
        <v>16</v>
      </c>
      <c r="C10" t="s">
        <v>49</v>
      </c>
      <c r="E10" t="str">
        <f t="shared" si="0"/>
        <v>Irritable</v>
      </c>
      <c r="F10" t="s">
        <v>42</v>
      </c>
      <c r="G10" t="s">
        <v>54</v>
      </c>
    </row>
    <row r="11" spans="1:8" x14ac:dyDescent="0.25">
      <c r="A11" t="s">
        <v>55</v>
      </c>
      <c r="B11" t="s">
        <v>16</v>
      </c>
      <c r="C11" t="s">
        <v>49</v>
      </c>
      <c r="E11" t="str">
        <f t="shared" si="0"/>
        <v>Anxiety</v>
      </c>
      <c r="F11" t="s">
        <v>42</v>
      </c>
      <c r="G11" t="s">
        <v>56</v>
      </c>
    </row>
    <row r="12" spans="1:8" x14ac:dyDescent="0.25">
      <c r="A12" t="s">
        <v>206</v>
      </c>
      <c r="B12" t="s">
        <v>16</v>
      </c>
      <c r="C12" t="s">
        <v>49</v>
      </c>
      <c r="E12" t="str">
        <f t="shared" ref="E12:E14" si="1">A12</f>
        <v>Sad</v>
      </c>
      <c r="F12" t="s">
        <v>42</v>
      </c>
      <c r="G12" t="s">
        <v>209</v>
      </c>
    </row>
    <row r="13" spans="1:8" x14ac:dyDescent="0.25">
      <c r="A13" t="s">
        <v>207</v>
      </c>
      <c r="B13" t="s">
        <v>16</v>
      </c>
      <c r="C13" t="s">
        <v>49</v>
      </c>
      <c r="E13" t="str">
        <f t="shared" si="1"/>
        <v>Happy</v>
      </c>
      <c r="F13" t="s">
        <v>42</v>
      </c>
      <c r="G13" t="s">
        <v>210</v>
      </c>
    </row>
    <row r="14" spans="1:8" x14ac:dyDescent="0.25">
      <c r="A14" t="s">
        <v>208</v>
      </c>
      <c r="B14" t="s">
        <v>16</v>
      </c>
      <c r="C14" t="s">
        <v>49</v>
      </c>
      <c r="E14" t="str">
        <f t="shared" si="1"/>
        <v>Anger</v>
      </c>
      <c r="F14" t="s">
        <v>42</v>
      </c>
      <c r="G14" t="s">
        <v>211</v>
      </c>
    </row>
    <row r="15" spans="1:8" x14ac:dyDescent="0.25">
      <c r="A15" t="s">
        <v>24</v>
      </c>
      <c r="B15" t="s">
        <v>25</v>
      </c>
      <c r="C15" t="s">
        <v>49</v>
      </c>
      <c r="E15" t="str">
        <f t="shared" si="0"/>
        <v>Notes</v>
      </c>
      <c r="F15" t="s">
        <v>57</v>
      </c>
      <c r="G15" t="s">
        <v>58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210" x14ac:dyDescent="0.25">
      <c r="A1" t="s">
        <v>60</v>
      </c>
      <c r="B1" s="1" t="s">
        <v>212</v>
      </c>
    </row>
    <row r="2" spans="1:3" ht="210" x14ac:dyDescent="0.25">
      <c r="A2" t="s">
        <v>112</v>
      </c>
      <c r="B2" s="1" t="s">
        <v>213</v>
      </c>
    </row>
    <row r="3" spans="1:3" ht="30" x14ac:dyDescent="0.25">
      <c r="A3" t="s">
        <v>124</v>
      </c>
      <c r="B3" s="1" t="s">
        <v>214</v>
      </c>
    </row>
    <row r="4" spans="1:3" x14ac:dyDescent="0.25">
      <c r="A4" t="s">
        <v>176</v>
      </c>
      <c r="B4" t="s">
        <v>215</v>
      </c>
    </row>
    <row r="5" spans="1:3" ht="375" x14ac:dyDescent="0.25">
      <c r="A5" t="s">
        <v>136</v>
      </c>
      <c r="B5" s="1" t="s">
        <v>216</v>
      </c>
    </row>
    <row r="6" spans="1:3" ht="409.5" x14ac:dyDescent="0.25">
      <c r="A6" t="s">
        <v>137</v>
      </c>
      <c r="B6" s="1" t="s">
        <v>217</v>
      </c>
      <c r="C6">
        <v>1917</v>
      </c>
    </row>
    <row r="7" spans="1:3" ht="409.5" x14ac:dyDescent="0.25">
      <c r="A7" t="s">
        <v>138</v>
      </c>
      <c r="B7" s="1" t="s">
        <v>223</v>
      </c>
      <c r="C7">
        <v>2051</v>
      </c>
    </row>
    <row r="8" spans="1:3" ht="409.5" x14ac:dyDescent="0.25">
      <c r="A8" t="s">
        <v>165</v>
      </c>
      <c r="B8" s="1" t="s">
        <v>218</v>
      </c>
      <c r="C8">
        <v>546</v>
      </c>
    </row>
    <row r="9" spans="1:3" ht="409.5" x14ac:dyDescent="0.25">
      <c r="A9" t="s">
        <v>164</v>
      </c>
      <c r="B9" s="1" t="s">
        <v>219</v>
      </c>
      <c r="C9">
        <v>1253</v>
      </c>
    </row>
    <row r="10" spans="1:3" ht="165" x14ac:dyDescent="0.25">
      <c r="A10" t="s">
        <v>168</v>
      </c>
      <c r="B10" s="1" t="s">
        <v>167</v>
      </c>
      <c r="C10">
        <v>296</v>
      </c>
    </row>
    <row r="11" spans="1:3" ht="409.5" x14ac:dyDescent="0.25">
      <c r="A11" t="s">
        <v>173</v>
      </c>
      <c r="B11" s="1" t="s">
        <v>220</v>
      </c>
      <c r="C11">
        <v>1230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7" sqref="E2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61</v>
      </c>
      <c r="E2">
        <f>A2</f>
        <v>0</v>
      </c>
      <c r="G2" t="s">
        <v>33</v>
      </c>
    </row>
    <row r="3" spans="1:8" x14ac:dyDescent="0.25">
      <c r="A3" t="s">
        <v>62</v>
      </c>
      <c r="B3" t="s">
        <v>16</v>
      </c>
      <c r="C3" t="s">
        <v>35</v>
      </c>
      <c r="D3" t="s">
        <v>121</v>
      </c>
      <c r="E3" t="s">
        <v>1</v>
      </c>
      <c r="F3" t="s">
        <v>166</v>
      </c>
      <c r="G3" t="s">
        <v>64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1</v>
      </c>
      <c r="B5" t="s">
        <v>16</v>
      </c>
      <c r="C5" t="s">
        <v>41</v>
      </c>
      <c r="E5" t="s">
        <v>62</v>
      </c>
      <c r="F5" t="s">
        <v>42</v>
      </c>
      <c r="G5" t="s">
        <v>65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49</v>
      </c>
      <c r="E7" t="str">
        <f t="shared" si="0"/>
        <v>FoodType</v>
      </c>
      <c r="F7" t="s">
        <v>194</v>
      </c>
      <c r="G7" t="s">
        <v>66</v>
      </c>
    </row>
    <row r="8" spans="1:8" x14ac:dyDescent="0.25">
      <c r="A8" s="1" t="s">
        <v>21</v>
      </c>
      <c r="B8" t="s">
        <v>22</v>
      </c>
      <c r="C8" t="s">
        <v>49</v>
      </c>
      <c r="E8" t="str">
        <f t="shared" si="0"/>
        <v>Meal</v>
      </c>
      <c r="F8" t="s">
        <v>63</v>
      </c>
      <c r="G8" t="s">
        <v>67</v>
      </c>
    </row>
    <row r="9" spans="1:8" x14ac:dyDescent="0.25">
      <c r="A9" s="1" t="s">
        <v>26</v>
      </c>
      <c r="B9" t="s">
        <v>22</v>
      </c>
      <c r="C9" t="s">
        <v>49</v>
      </c>
      <c r="E9" t="str">
        <f t="shared" si="0"/>
        <v>ServingSize</v>
      </c>
      <c r="F9" t="s">
        <v>63</v>
      </c>
      <c r="G9" t="s">
        <v>76</v>
      </c>
    </row>
    <row r="10" spans="1:8" x14ac:dyDescent="0.25">
      <c r="A10" s="1" t="s">
        <v>2</v>
      </c>
      <c r="B10" t="s">
        <v>16</v>
      </c>
      <c r="C10" t="s">
        <v>49</v>
      </c>
      <c r="E10" t="str">
        <f t="shared" si="0"/>
        <v>Calories</v>
      </c>
      <c r="F10" t="s">
        <v>42</v>
      </c>
      <c r="G10" t="s">
        <v>68</v>
      </c>
    </row>
    <row r="11" spans="1:8" x14ac:dyDescent="0.25">
      <c r="A11" s="1" t="s">
        <v>3</v>
      </c>
      <c r="B11" t="s">
        <v>16</v>
      </c>
      <c r="C11" t="s">
        <v>49</v>
      </c>
      <c r="E11" t="str">
        <f t="shared" si="0"/>
        <v>TotalFat</v>
      </c>
      <c r="F11" t="s">
        <v>42</v>
      </c>
      <c r="G11" t="s">
        <v>77</v>
      </c>
    </row>
    <row r="12" spans="1:8" x14ac:dyDescent="0.25">
      <c r="A12" s="1" t="s">
        <v>4</v>
      </c>
      <c r="B12" t="s">
        <v>16</v>
      </c>
      <c r="C12" t="s">
        <v>49</v>
      </c>
      <c r="E12" t="str">
        <f t="shared" si="0"/>
        <v>SaturatedFat</v>
      </c>
      <c r="F12" t="s">
        <v>42</v>
      </c>
      <c r="G12" t="s">
        <v>82</v>
      </c>
    </row>
    <row r="13" spans="1:8" x14ac:dyDescent="0.25">
      <c r="A13" s="1" t="s">
        <v>5</v>
      </c>
      <c r="B13" t="s">
        <v>16</v>
      </c>
      <c r="C13" t="s">
        <v>49</v>
      </c>
      <c r="E13" t="str">
        <f t="shared" si="0"/>
        <v>TransFat</v>
      </c>
      <c r="F13" t="s">
        <v>42</v>
      </c>
      <c r="G13" t="s">
        <v>78</v>
      </c>
    </row>
    <row r="14" spans="1:8" x14ac:dyDescent="0.25">
      <c r="A14" s="1" t="s">
        <v>6</v>
      </c>
      <c r="B14" t="s">
        <v>16</v>
      </c>
      <c r="C14" t="s">
        <v>49</v>
      </c>
      <c r="E14" t="str">
        <f t="shared" si="0"/>
        <v>Cholesterol</v>
      </c>
      <c r="F14" t="s">
        <v>42</v>
      </c>
      <c r="G14" t="s">
        <v>69</v>
      </c>
    </row>
    <row r="15" spans="1:8" x14ac:dyDescent="0.25">
      <c r="A15" s="1" t="s">
        <v>7</v>
      </c>
      <c r="B15" t="s">
        <v>16</v>
      </c>
      <c r="C15" t="s">
        <v>49</v>
      </c>
      <c r="E15" t="str">
        <f t="shared" si="0"/>
        <v>Sodium</v>
      </c>
      <c r="F15" t="s">
        <v>42</v>
      </c>
      <c r="G15" t="s">
        <v>70</v>
      </c>
    </row>
    <row r="16" spans="1:8" x14ac:dyDescent="0.25">
      <c r="A16" s="1" t="s">
        <v>8</v>
      </c>
      <c r="B16" t="s">
        <v>16</v>
      </c>
      <c r="C16" t="s">
        <v>49</v>
      </c>
      <c r="E16" t="str">
        <f t="shared" si="0"/>
        <v>TotalCarbs</v>
      </c>
      <c r="F16" t="s">
        <v>42</v>
      </c>
      <c r="G16" t="s">
        <v>79</v>
      </c>
    </row>
    <row r="17" spans="1:7" x14ac:dyDescent="0.25">
      <c r="A17" s="1" t="s">
        <v>9</v>
      </c>
      <c r="B17" t="s">
        <v>16</v>
      </c>
      <c r="C17" t="s">
        <v>49</v>
      </c>
      <c r="E17" t="str">
        <f t="shared" si="0"/>
        <v>DietaryFiber</v>
      </c>
      <c r="F17" t="s">
        <v>42</v>
      </c>
      <c r="G17" t="s">
        <v>71</v>
      </c>
    </row>
    <row r="18" spans="1:7" x14ac:dyDescent="0.25">
      <c r="A18" s="1" t="s">
        <v>10</v>
      </c>
      <c r="B18" t="s">
        <v>16</v>
      </c>
      <c r="C18" t="s">
        <v>49</v>
      </c>
      <c r="E18" t="str">
        <f t="shared" si="0"/>
        <v>Sugars</v>
      </c>
      <c r="F18" t="s">
        <v>42</v>
      </c>
      <c r="G18" t="s">
        <v>72</v>
      </c>
    </row>
    <row r="19" spans="1:7" x14ac:dyDescent="0.25">
      <c r="A19" s="1" t="s">
        <v>11</v>
      </c>
      <c r="B19" t="s">
        <v>16</v>
      </c>
      <c r="C19" t="s">
        <v>49</v>
      </c>
      <c r="E19" t="str">
        <f t="shared" si="0"/>
        <v>Protein</v>
      </c>
      <c r="F19" t="s">
        <v>42</v>
      </c>
      <c r="G19" t="s">
        <v>73</v>
      </c>
    </row>
    <row r="20" spans="1:7" x14ac:dyDescent="0.25">
      <c r="A20" s="1" t="s">
        <v>12</v>
      </c>
      <c r="B20" t="s">
        <v>16</v>
      </c>
      <c r="C20" t="s">
        <v>49</v>
      </c>
      <c r="E20" t="str">
        <f t="shared" si="0"/>
        <v>VitaminA</v>
      </c>
      <c r="F20" t="s">
        <v>42</v>
      </c>
      <c r="G20" t="s">
        <v>80</v>
      </c>
    </row>
    <row r="21" spans="1:7" x14ac:dyDescent="0.25">
      <c r="A21" s="1" t="s">
        <v>13</v>
      </c>
      <c r="B21" t="s">
        <v>16</v>
      </c>
      <c r="C21" t="s">
        <v>49</v>
      </c>
      <c r="E21" t="str">
        <f t="shared" si="0"/>
        <v>VitaminB</v>
      </c>
      <c r="F21" t="s">
        <v>42</v>
      </c>
      <c r="G21" t="s">
        <v>81</v>
      </c>
    </row>
    <row r="22" spans="1:7" x14ac:dyDescent="0.25">
      <c r="A22" s="1" t="s">
        <v>14</v>
      </c>
      <c r="B22" t="s">
        <v>16</v>
      </c>
      <c r="C22" t="s">
        <v>49</v>
      </c>
      <c r="E22" t="str">
        <f t="shared" si="0"/>
        <v>Calcium</v>
      </c>
      <c r="F22" t="s">
        <v>42</v>
      </c>
      <c r="G22" t="s">
        <v>74</v>
      </c>
    </row>
    <row r="23" spans="1:7" x14ac:dyDescent="0.25">
      <c r="A23" s="1" t="s">
        <v>15</v>
      </c>
      <c r="B23" t="s">
        <v>16</v>
      </c>
      <c r="C23" t="s">
        <v>49</v>
      </c>
      <c r="E23" t="str">
        <f t="shared" si="0"/>
        <v>Iron</v>
      </c>
      <c r="F23" t="s">
        <v>42</v>
      </c>
      <c r="G23" t="s">
        <v>75</v>
      </c>
    </row>
    <row r="24" spans="1:7" x14ac:dyDescent="0.25">
      <c r="A24" t="s">
        <v>24</v>
      </c>
      <c r="B24" t="s">
        <v>25</v>
      </c>
      <c r="C24" t="s">
        <v>49</v>
      </c>
      <c r="E24" t="str">
        <f t="shared" si="0"/>
        <v>Notes</v>
      </c>
      <c r="F24" t="s">
        <v>57</v>
      </c>
      <c r="G24" t="s">
        <v>58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60</v>
      </c>
      <c r="B1" s="1" t="s">
        <v>195</v>
      </c>
    </row>
    <row r="2" spans="1:3" ht="345" x14ac:dyDescent="0.25">
      <c r="A2" t="s">
        <v>112</v>
      </c>
      <c r="B2" s="1" t="s">
        <v>160</v>
      </c>
    </row>
    <row r="3" spans="1:3" ht="45" x14ac:dyDescent="0.25">
      <c r="A3" t="s">
        <v>124</v>
      </c>
      <c r="B3" s="1" t="s">
        <v>161</v>
      </c>
    </row>
    <row r="4" spans="1:3" ht="45" x14ac:dyDescent="0.25">
      <c r="A4" t="s">
        <v>176</v>
      </c>
      <c r="B4" s="1" t="s">
        <v>177</v>
      </c>
    </row>
    <row r="5" spans="1:3" ht="409.5" x14ac:dyDescent="0.25">
      <c r="A5" t="s">
        <v>136</v>
      </c>
      <c r="B5" s="1" t="s">
        <v>135</v>
      </c>
    </row>
    <row r="6" spans="1:3" ht="409.5" x14ac:dyDescent="0.25">
      <c r="A6" t="s">
        <v>137</v>
      </c>
      <c r="B6" s="1" t="s">
        <v>139</v>
      </c>
      <c r="C6">
        <v>3368</v>
      </c>
    </row>
    <row r="7" spans="1:3" ht="409.5" x14ac:dyDescent="0.25">
      <c r="A7" t="s">
        <v>138</v>
      </c>
      <c r="B7" s="1" t="s">
        <v>221</v>
      </c>
      <c r="C7">
        <v>3513</v>
      </c>
    </row>
    <row r="8" spans="1:3" ht="409.5" x14ac:dyDescent="0.25">
      <c r="A8" t="s">
        <v>165</v>
      </c>
      <c r="B8" s="1" t="s">
        <v>196</v>
      </c>
      <c r="C8">
        <v>546</v>
      </c>
    </row>
    <row r="9" spans="1:3" ht="409.5" x14ac:dyDescent="0.25">
      <c r="A9" t="s">
        <v>164</v>
      </c>
      <c r="B9" s="1" t="s">
        <v>140</v>
      </c>
      <c r="C9">
        <v>2063</v>
      </c>
    </row>
    <row r="10" spans="1:3" ht="165" x14ac:dyDescent="0.25">
      <c r="A10" t="s">
        <v>168</v>
      </c>
      <c r="B10" s="1" t="s">
        <v>169</v>
      </c>
      <c r="C10">
        <v>296</v>
      </c>
    </row>
    <row r="11" spans="1:3" ht="409.5" x14ac:dyDescent="0.25">
      <c r="A11" t="s">
        <v>173</v>
      </c>
      <c r="B11" s="1" t="s">
        <v>174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D20" sqref="D20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84</v>
      </c>
      <c r="E2">
        <f>A2</f>
        <v>0</v>
      </c>
      <c r="G2" t="s">
        <v>33</v>
      </c>
    </row>
    <row r="3" spans="1:8" x14ac:dyDescent="0.25">
      <c r="A3" t="s">
        <v>87</v>
      </c>
      <c r="B3" t="s">
        <v>16</v>
      </c>
      <c r="C3" t="s">
        <v>35</v>
      </c>
      <c r="D3" t="s">
        <v>121</v>
      </c>
      <c r="E3" t="s">
        <v>88</v>
      </c>
      <c r="F3" t="s">
        <v>166</v>
      </c>
      <c r="G3" t="s">
        <v>85</v>
      </c>
      <c r="H3" s="2" t="s">
        <v>115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  <c r="H4" s="2" t="s">
        <v>116</v>
      </c>
    </row>
    <row r="5" spans="1:8" x14ac:dyDescent="0.25">
      <c r="A5" t="s">
        <v>88</v>
      </c>
      <c r="B5" t="s">
        <v>16</v>
      </c>
      <c r="C5" t="s">
        <v>41</v>
      </c>
      <c r="E5" t="s">
        <v>87</v>
      </c>
      <c r="F5" t="s">
        <v>42</v>
      </c>
      <c r="G5" t="s">
        <v>86</v>
      </c>
    </row>
    <row r="6" spans="1:8" x14ac:dyDescent="0.25">
      <c r="A6" t="s">
        <v>93</v>
      </c>
      <c r="B6" t="s">
        <v>25</v>
      </c>
      <c r="C6" t="s">
        <v>49</v>
      </c>
      <c r="E6" t="str">
        <f>A6</f>
        <v>Title</v>
      </c>
      <c r="F6" t="s">
        <v>197</v>
      </c>
      <c r="G6" t="s">
        <v>89</v>
      </c>
      <c r="H6" s="2" t="s">
        <v>117</v>
      </c>
    </row>
    <row r="7" spans="1:8" x14ac:dyDescent="0.25">
      <c r="A7" t="s">
        <v>94</v>
      </c>
      <c r="B7" t="s">
        <v>99</v>
      </c>
      <c r="C7" t="s">
        <v>49</v>
      </c>
      <c r="E7" t="str">
        <f t="shared" ref="E7:E12" si="0">A7</f>
        <v>Type</v>
      </c>
      <c r="F7" t="s">
        <v>198</v>
      </c>
      <c r="G7" t="s">
        <v>66</v>
      </c>
      <c r="H7" s="2" t="s">
        <v>118</v>
      </c>
    </row>
    <row r="8" spans="1:8" x14ac:dyDescent="0.25">
      <c r="A8" t="s">
        <v>95</v>
      </c>
      <c r="B8" t="s">
        <v>100</v>
      </c>
      <c r="C8" t="s">
        <v>49</v>
      </c>
      <c r="E8" t="str">
        <f t="shared" si="0"/>
        <v>Minutes</v>
      </c>
      <c r="F8" t="s">
        <v>199</v>
      </c>
      <c r="G8" t="s">
        <v>90</v>
      </c>
      <c r="H8" s="2" t="s">
        <v>119</v>
      </c>
    </row>
    <row r="9" spans="1:8" x14ac:dyDescent="0.25">
      <c r="A9" t="s">
        <v>96</v>
      </c>
      <c r="B9" t="s">
        <v>100</v>
      </c>
      <c r="C9" t="s">
        <v>49</v>
      </c>
      <c r="E9" t="str">
        <f t="shared" si="0"/>
        <v>Inty</v>
      </c>
      <c r="F9" t="s">
        <v>199</v>
      </c>
      <c r="G9" t="s">
        <v>91</v>
      </c>
    </row>
    <row r="10" spans="1:8" x14ac:dyDescent="0.25">
      <c r="A10" t="s">
        <v>24</v>
      </c>
      <c r="B10" t="s">
        <v>25</v>
      </c>
      <c r="C10" t="s">
        <v>49</v>
      </c>
      <c r="E10" t="str">
        <f t="shared" si="0"/>
        <v>Notes</v>
      </c>
      <c r="F10" t="s">
        <v>197</v>
      </c>
      <c r="G10" t="s">
        <v>92</v>
      </c>
    </row>
    <row r="11" spans="1:8" x14ac:dyDescent="0.25">
      <c r="A11" t="s">
        <v>97</v>
      </c>
      <c r="B11" t="s">
        <v>18</v>
      </c>
      <c r="C11" t="s">
        <v>41</v>
      </c>
      <c r="E11" t="str">
        <f t="shared" si="0"/>
        <v>DateEx</v>
      </c>
      <c r="F11" t="s">
        <v>44</v>
      </c>
      <c r="G11" t="s">
        <v>18</v>
      </c>
    </row>
    <row r="12" spans="1:8" x14ac:dyDescent="0.25">
      <c r="A12" t="s">
        <v>98</v>
      </c>
      <c r="B12" t="s">
        <v>46</v>
      </c>
      <c r="C12" t="s">
        <v>41</v>
      </c>
      <c r="E12" t="str">
        <f t="shared" si="0"/>
        <v>TimeEx</v>
      </c>
      <c r="F12" t="s">
        <v>47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60</v>
      </c>
      <c r="B1" s="1" t="s">
        <v>200</v>
      </c>
    </row>
    <row r="2" spans="1:3" ht="180" x14ac:dyDescent="0.25">
      <c r="A2" t="s">
        <v>112</v>
      </c>
      <c r="B2" s="1" t="s">
        <v>180</v>
      </c>
    </row>
    <row r="3" spans="1:3" ht="30" x14ac:dyDescent="0.25">
      <c r="A3" t="s">
        <v>124</v>
      </c>
      <c r="B3" s="1" t="s">
        <v>181</v>
      </c>
    </row>
    <row r="4" spans="1:3" x14ac:dyDescent="0.25">
      <c r="A4" t="s">
        <v>176</v>
      </c>
      <c r="B4" t="s">
        <v>182</v>
      </c>
    </row>
    <row r="5" spans="1:3" ht="330" x14ac:dyDescent="0.25">
      <c r="A5" t="s">
        <v>136</v>
      </c>
      <c r="B5" s="1" t="s">
        <v>201</v>
      </c>
    </row>
    <row r="6" spans="1:3" ht="409.5" x14ac:dyDescent="0.25">
      <c r="A6" t="s">
        <v>137</v>
      </c>
      <c r="B6" s="1" t="s">
        <v>202</v>
      </c>
      <c r="C6">
        <v>1227</v>
      </c>
    </row>
    <row r="7" spans="1:3" ht="409.5" x14ac:dyDescent="0.25">
      <c r="A7" t="s">
        <v>138</v>
      </c>
      <c r="B7" s="1" t="s">
        <v>222</v>
      </c>
      <c r="C7">
        <v>1378</v>
      </c>
    </row>
    <row r="8" spans="1:3" ht="409.5" x14ac:dyDescent="0.25">
      <c r="A8" t="s">
        <v>165</v>
      </c>
      <c r="B8" s="1" t="s">
        <v>184</v>
      </c>
      <c r="C8">
        <v>594</v>
      </c>
    </row>
    <row r="9" spans="1:3" ht="409.5" x14ac:dyDescent="0.25">
      <c r="A9" t="s">
        <v>164</v>
      </c>
      <c r="B9" s="1" t="s">
        <v>183</v>
      </c>
      <c r="C9">
        <v>1033</v>
      </c>
    </row>
    <row r="10" spans="1:3" ht="165" x14ac:dyDescent="0.25">
      <c r="A10" t="s">
        <v>168</v>
      </c>
      <c r="B10" s="1" t="s">
        <v>170</v>
      </c>
      <c r="C10">
        <v>316</v>
      </c>
    </row>
    <row r="11" spans="1:3" ht="409.5" x14ac:dyDescent="0.25">
      <c r="A11" t="s">
        <v>173</v>
      </c>
      <c r="B11" s="1" t="s">
        <v>203</v>
      </c>
      <c r="C11">
        <v>1050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D14" sqref="D1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8" x14ac:dyDescent="0.25">
      <c r="D2" t="s">
        <v>101</v>
      </c>
      <c r="E2">
        <f>A2</f>
        <v>0</v>
      </c>
      <c r="G2" t="s">
        <v>33</v>
      </c>
    </row>
    <row r="3" spans="1:8" x14ac:dyDescent="0.25">
      <c r="A3" t="s">
        <v>102</v>
      </c>
      <c r="B3" t="s">
        <v>16</v>
      </c>
      <c r="C3" t="s">
        <v>35</v>
      </c>
      <c r="D3" t="s">
        <v>121</v>
      </c>
      <c r="E3" t="s">
        <v>103</v>
      </c>
      <c r="F3" t="s">
        <v>166</v>
      </c>
      <c r="G3" t="s">
        <v>104</v>
      </c>
      <c r="H3" s="2" t="s">
        <v>113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8" x14ac:dyDescent="0.25">
      <c r="A5" t="s">
        <v>103</v>
      </c>
      <c r="B5" t="s">
        <v>16</v>
      </c>
      <c r="C5" t="s">
        <v>41</v>
      </c>
      <c r="E5" t="s">
        <v>102</v>
      </c>
      <c r="F5" t="s">
        <v>42</v>
      </c>
      <c r="G5" t="s">
        <v>105</v>
      </c>
      <c r="H5" s="2" t="s">
        <v>114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0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106</v>
      </c>
      <c r="B8" t="s">
        <v>46</v>
      </c>
      <c r="C8" t="s">
        <v>49</v>
      </c>
      <c r="E8" t="str">
        <f t="shared" si="0"/>
        <v>Duration</v>
      </c>
      <c r="F8" t="s">
        <v>191</v>
      </c>
      <c r="G8" t="s">
        <v>110</v>
      </c>
    </row>
    <row r="9" spans="1:8" x14ac:dyDescent="0.25">
      <c r="A9" t="s">
        <v>107</v>
      </c>
      <c r="B9" t="s">
        <v>16</v>
      </c>
      <c r="C9" t="s">
        <v>49</v>
      </c>
      <c r="E9" t="str">
        <f t="shared" si="0"/>
        <v>Quality</v>
      </c>
      <c r="F9" t="s">
        <v>42</v>
      </c>
      <c r="G9" t="s">
        <v>111</v>
      </c>
    </row>
    <row r="10" spans="1:8" x14ac:dyDescent="0.25">
      <c r="A10" t="s">
        <v>24</v>
      </c>
      <c r="B10" t="s">
        <v>108</v>
      </c>
      <c r="C10" t="s">
        <v>49</v>
      </c>
      <c r="E10" t="str">
        <f t="shared" si="0"/>
        <v>Notes</v>
      </c>
      <c r="F10" t="s">
        <v>109</v>
      </c>
      <c r="G10" t="s">
        <v>92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tabSelected="1" topLeftCell="A7" workbookViewId="0">
      <selection activeCell="B7" sqref="B7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35" x14ac:dyDescent="0.25">
      <c r="A1" t="s">
        <v>60</v>
      </c>
      <c r="B1" s="1" t="s">
        <v>192</v>
      </c>
    </row>
    <row r="2" spans="1:3" ht="165" x14ac:dyDescent="0.25">
      <c r="A2" t="s">
        <v>112</v>
      </c>
      <c r="B2" s="1" t="s">
        <v>185</v>
      </c>
    </row>
    <row r="3" spans="1:3" ht="45.75" customHeight="1" x14ac:dyDescent="0.25">
      <c r="A3" t="s">
        <v>124</v>
      </c>
      <c r="B3" s="1" t="s">
        <v>186</v>
      </c>
    </row>
    <row r="4" spans="1:3" x14ac:dyDescent="0.25">
      <c r="A4" t="s">
        <v>176</v>
      </c>
      <c r="B4" t="s">
        <v>179</v>
      </c>
    </row>
    <row r="5" spans="1:3" ht="300" x14ac:dyDescent="0.25">
      <c r="A5" t="s">
        <v>136</v>
      </c>
      <c r="B5" s="1" t="s">
        <v>193</v>
      </c>
    </row>
    <row r="6" spans="1:3" ht="409.5" x14ac:dyDescent="0.25">
      <c r="A6" t="s">
        <v>137</v>
      </c>
      <c r="B6" s="1" t="s">
        <v>187</v>
      </c>
      <c r="C6">
        <v>969</v>
      </c>
    </row>
    <row r="7" spans="1:3" ht="409.5" x14ac:dyDescent="0.25">
      <c r="A7" t="s">
        <v>138</v>
      </c>
      <c r="B7" s="1" t="s">
        <v>225</v>
      </c>
      <c r="C7">
        <v>1104</v>
      </c>
    </row>
    <row r="8" spans="1:3" ht="409.5" x14ac:dyDescent="0.25">
      <c r="A8" t="s">
        <v>165</v>
      </c>
      <c r="B8" s="1" t="s">
        <v>188</v>
      </c>
      <c r="C8">
        <v>558</v>
      </c>
    </row>
    <row r="9" spans="1:3" ht="409.5" x14ac:dyDescent="0.25">
      <c r="A9" t="s">
        <v>164</v>
      </c>
      <c r="B9" s="1" t="s">
        <v>189</v>
      </c>
      <c r="C9">
        <v>861</v>
      </c>
    </row>
    <row r="10" spans="1:3" ht="165" x14ac:dyDescent="0.25">
      <c r="A10" t="s">
        <v>168</v>
      </c>
      <c r="B10" s="1" t="s">
        <v>171</v>
      </c>
      <c r="C10">
        <v>301</v>
      </c>
    </row>
    <row r="11" spans="1:3" ht="409.5" x14ac:dyDescent="0.25">
      <c r="A11" t="s">
        <v>173</v>
      </c>
      <c r="B11" s="1" t="s">
        <v>190</v>
      </c>
      <c r="C11">
        <v>930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D21" sqref="D21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.28515625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7" x14ac:dyDescent="0.25">
      <c r="D2" t="s">
        <v>143</v>
      </c>
      <c r="E2">
        <f>A2</f>
        <v>0</v>
      </c>
      <c r="G2" t="s">
        <v>33</v>
      </c>
    </row>
    <row r="3" spans="1:7" x14ac:dyDescent="0.25">
      <c r="A3" t="s">
        <v>144</v>
      </c>
      <c r="B3" t="s">
        <v>16</v>
      </c>
      <c r="C3" t="s">
        <v>35</v>
      </c>
      <c r="D3" t="s">
        <v>121</v>
      </c>
      <c r="E3" t="s">
        <v>145</v>
      </c>
      <c r="F3" t="s">
        <v>166</v>
      </c>
      <c r="G3" t="s">
        <v>141</v>
      </c>
    </row>
    <row r="4" spans="1:7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7" x14ac:dyDescent="0.25">
      <c r="A5" t="s">
        <v>145</v>
      </c>
      <c r="B5" t="s">
        <v>16</v>
      </c>
      <c r="C5" t="s">
        <v>41</v>
      </c>
      <c r="E5" t="s">
        <v>144</v>
      </c>
      <c r="F5" t="s">
        <v>42</v>
      </c>
      <c r="G5" t="s">
        <v>142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146</v>
      </c>
      <c r="B8" t="s">
        <v>25</v>
      </c>
      <c r="C8" t="s">
        <v>49</v>
      </c>
      <c r="E8" t="str">
        <f t="shared" si="0"/>
        <v>BrandName</v>
      </c>
      <c r="F8" t="s">
        <v>151</v>
      </c>
      <c r="G8" t="s">
        <v>152</v>
      </c>
    </row>
    <row r="9" spans="1:7" x14ac:dyDescent="0.25">
      <c r="A9" t="s">
        <v>147</v>
      </c>
      <c r="B9" t="s">
        <v>25</v>
      </c>
      <c r="C9" t="s">
        <v>49</v>
      </c>
      <c r="E9" t="str">
        <f t="shared" si="0"/>
        <v>Prescriber</v>
      </c>
      <c r="F9" t="s">
        <v>151</v>
      </c>
      <c r="G9" t="s">
        <v>153</v>
      </c>
    </row>
    <row r="10" spans="1:7" x14ac:dyDescent="0.25">
      <c r="A10" t="s">
        <v>148</v>
      </c>
      <c r="B10" t="s">
        <v>25</v>
      </c>
      <c r="C10" t="s">
        <v>49</v>
      </c>
      <c r="E10" t="str">
        <f t="shared" si="0"/>
        <v>Dose</v>
      </c>
      <c r="F10" t="s">
        <v>151</v>
      </c>
      <c r="G10" t="s">
        <v>154</v>
      </c>
    </row>
    <row r="11" spans="1:7" x14ac:dyDescent="0.25">
      <c r="A11" t="s">
        <v>149</v>
      </c>
      <c r="B11" t="s">
        <v>25</v>
      </c>
      <c r="C11" t="s">
        <v>49</v>
      </c>
      <c r="E11" t="str">
        <f t="shared" si="0"/>
        <v>Instructions</v>
      </c>
      <c r="F11" t="s">
        <v>151</v>
      </c>
      <c r="G11" t="s">
        <v>155</v>
      </c>
    </row>
    <row r="12" spans="1:7" x14ac:dyDescent="0.25">
      <c r="A12" t="s">
        <v>150</v>
      </c>
      <c r="B12" t="s">
        <v>25</v>
      </c>
      <c r="C12" t="s">
        <v>49</v>
      </c>
      <c r="E12" t="str">
        <f t="shared" si="0"/>
        <v>Warnings</v>
      </c>
      <c r="F12" t="s">
        <v>151</v>
      </c>
      <c r="G12" t="s">
        <v>156</v>
      </c>
    </row>
    <row r="13" spans="1:7" x14ac:dyDescent="0.25">
      <c r="A13" t="s">
        <v>24</v>
      </c>
      <c r="B13" t="s">
        <v>25</v>
      </c>
      <c r="C13" t="s">
        <v>49</v>
      </c>
      <c r="E13" t="str">
        <f t="shared" ref="E13" si="1">A13</f>
        <v>Notes</v>
      </c>
      <c r="F13" t="s">
        <v>151</v>
      </c>
      <c r="G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60</v>
      </c>
      <c r="B1" s="1" t="s">
        <v>204</v>
      </c>
    </row>
    <row r="2" spans="1:3" ht="180" x14ac:dyDescent="0.25">
      <c r="A2" t="s">
        <v>112</v>
      </c>
      <c r="B2" s="1" t="s">
        <v>162</v>
      </c>
    </row>
    <row r="3" spans="1:3" ht="30" x14ac:dyDescent="0.25">
      <c r="A3" t="s">
        <v>124</v>
      </c>
      <c r="B3" s="1" t="s">
        <v>163</v>
      </c>
    </row>
    <row r="4" spans="1:3" x14ac:dyDescent="0.25">
      <c r="A4" t="s">
        <v>176</v>
      </c>
      <c r="B4" t="s">
        <v>178</v>
      </c>
    </row>
    <row r="5" spans="1:3" ht="345" x14ac:dyDescent="0.25">
      <c r="A5" t="s">
        <v>136</v>
      </c>
      <c r="B5" s="1" t="s">
        <v>157</v>
      </c>
    </row>
    <row r="6" spans="1:3" ht="409.5" x14ac:dyDescent="0.25">
      <c r="A6" t="s">
        <v>137</v>
      </c>
      <c r="B6" s="1" t="s">
        <v>158</v>
      </c>
      <c r="C6">
        <v>1096</v>
      </c>
    </row>
    <row r="7" spans="1:3" ht="409.5" x14ac:dyDescent="0.25">
      <c r="A7" t="s">
        <v>138</v>
      </c>
      <c r="B7" s="1" t="s">
        <v>224</v>
      </c>
      <c r="C7">
        <v>1250</v>
      </c>
    </row>
    <row r="8" spans="1:3" ht="409.5" x14ac:dyDescent="0.25">
      <c r="A8" t="s">
        <v>165</v>
      </c>
      <c r="B8" s="1" t="s">
        <v>205</v>
      </c>
      <c r="C8">
        <v>618</v>
      </c>
    </row>
    <row r="9" spans="1:3" ht="409.5" x14ac:dyDescent="0.25">
      <c r="A9" t="s">
        <v>164</v>
      </c>
      <c r="B9" s="1" t="s">
        <v>159</v>
      </c>
      <c r="C9">
        <v>1167</v>
      </c>
    </row>
    <row r="10" spans="1:3" ht="165" x14ac:dyDescent="0.25">
      <c r="A10" t="s">
        <v>168</v>
      </c>
      <c r="B10" s="1" t="s">
        <v>172</v>
      </c>
      <c r="C10">
        <v>326</v>
      </c>
    </row>
    <row r="11" spans="1:3" ht="409.5" x14ac:dyDescent="0.25">
      <c r="A11" t="s">
        <v>173</v>
      </c>
      <c r="B11" s="1" t="s">
        <v>175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2016-05-11T07:52:41Z</dcterms:modified>
</cp:coreProperties>
</file>