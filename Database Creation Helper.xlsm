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J\Documents\GitHub\BiometrixSQL\"/>
    </mc:Choice>
  </mc:AlternateContent>
  <bookViews>
    <workbookView xWindow="1050" yWindow="0" windowWidth="16905" windowHeight="4260" tabRatio="599" firstSheet="1" activeTab="2"/>
  </bookViews>
  <sheets>
    <sheet name="INFO" sheetId="13" r:id="rId1"/>
    <sheet name="Mood" sheetId="2" r:id="rId2"/>
    <sheet name="MoodData" sheetId="19" r:id="rId3"/>
    <sheet name="MoodOutput" sheetId="3" r:id="rId4"/>
    <sheet name="Diet" sheetId="7" r:id="rId5"/>
    <sheet name="DietData" sheetId="17" r:id="rId6"/>
    <sheet name="DietOutput" sheetId="8" r:id="rId7"/>
    <sheet name="Exercise" sheetId="9" r:id="rId8"/>
    <sheet name="ExerciseData" sheetId="18" r:id="rId9"/>
    <sheet name="ExerciseOutput" sheetId="10" r:id="rId10"/>
    <sheet name="Sleep" sheetId="11" r:id="rId11"/>
    <sheet name="SleepOutput" sheetId="12" r:id="rId12"/>
    <sheet name="Medication" sheetId="14" r:id="rId13"/>
    <sheet name="MedicationOutput" sheetId="15" r:id="rId14"/>
    <sheet name="Sheet1" sheetId="16" r:id="rId1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9" l="1"/>
  <c r="F7" i="19"/>
  <c r="G7" i="19"/>
  <c r="H7" i="19"/>
  <c r="I7" i="19"/>
  <c r="J7" i="19"/>
  <c r="K7" i="19"/>
  <c r="E8" i="19"/>
  <c r="F8" i="19"/>
  <c r="G8" i="19"/>
  <c r="H8" i="19"/>
  <c r="I8" i="19"/>
  <c r="J8" i="19"/>
  <c r="K8" i="19"/>
  <c r="E9" i="19"/>
  <c r="F9" i="19"/>
  <c r="G9" i="19"/>
  <c r="H9" i="19"/>
  <c r="I9" i="19"/>
  <c r="J9" i="19"/>
  <c r="K9" i="19"/>
  <c r="E10" i="19"/>
  <c r="F10" i="19"/>
  <c r="G10" i="19"/>
  <c r="H10" i="19"/>
  <c r="I10" i="19"/>
  <c r="J10" i="19"/>
  <c r="K10" i="19"/>
  <c r="E11" i="19"/>
  <c r="F11" i="19"/>
  <c r="G11" i="19"/>
  <c r="H11" i="19"/>
  <c r="I11" i="19"/>
  <c r="J11" i="19"/>
  <c r="K11" i="19"/>
  <c r="E12" i="19"/>
  <c r="F12" i="19"/>
  <c r="G12" i="19"/>
  <c r="H12" i="19"/>
  <c r="I12" i="19"/>
  <c r="J12" i="19"/>
  <c r="K12" i="19"/>
  <c r="E13" i="19"/>
  <c r="F13" i="19"/>
  <c r="G13" i="19"/>
  <c r="H13" i="19"/>
  <c r="I13" i="19"/>
  <c r="J13" i="19"/>
  <c r="K13" i="19"/>
  <c r="E14" i="19"/>
  <c r="F14" i="19"/>
  <c r="G14" i="19"/>
  <c r="H14" i="19"/>
  <c r="I14" i="19"/>
  <c r="J14" i="19"/>
  <c r="K14" i="19"/>
  <c r="E15" i="19"/>
  <c r="F15" i="19"/>
  <c r="G15" i="19"/>
  <c r="H15" i="19"/>
  <c r="I15" i="19"/>
  <c r="J15" i="19"/>
  <c r="K15" i="19"/>
  <c r="E16" i="19"/>
  <c r="F16" i="19"/>
  <c r="G16" i="19"/>
  <c r="H16" i="19"/>
  <c r="I16" i="19"/>
  <c r="J16" i="19"/>
  <c r="K16" i="19"/>
  <c r="E17" i="19"/>
  <c r="F17" i="19"/>
  <c r="G17" i="19"/>
  <c r="H17" i="19"/>
  <c r="I17" i="19"/>
  <c r="J17" i="19"/>
  <c r="K17" i="19"/>
  <c r="E18" i="19"/>
  <c r="F18" i="19"/>
  <c r="G18" i="19"/>
  <c r="H18" i="19"/>
  <c r="I18" i="19"/>
  <c r="J18" i="19"/>
  <c r="K18" i="19"/>
  <c r="E19" i="19"/>
  <c r="F19" i="19"/>
  <c r="G19" i="19"/>
  <c r="H19" i="19"/>
  <c r="I19" i="19"/>
  <c r="J19" i="19"/>
  <c r="K19" i="19"/>
  <c r="E20" i="19"/>
  <c r="F20" i="19"/>
  <c r="G20" i="19"/>
  <c r="H20" i="19"/>
  <c r="I20" i="19"/>
  <c r="J20" i="19"/>
  <c r="K20" i="19"/>
  <c r="E21" i="19"/>
  <c r="F21" i="19"/>
  <c r="G21" i="19"/>
  <c r="H21" i="19"/>
  <c r="I21" i="19"/>
  <c r="J21" i="19"/>
  <c r="K21" i="19"/>
  <c r="E22" i="19"/>
  <c r="F22" i="19"/>
  <c r="G22" i="19"/>
  <c r="H22" i="19"/>
  <c r="I22" i="19"/>
  <c r="J22" i="19"/>
  <c r="K22" i="19"/>
  <c r="E23" i="19"/>
  <c r="F23" i="19"/>
  <c r="G23" i="19"/>
  <c r="H23" i="19"/>
  <c r="I23" i="19"/>
  <c r="J23" i="19"/>
  <c r="K23" i="19"/>
  <c r="E24" i="19"/>
  <c r="F24" i="19"/>
  <c r="G24" i="19"/>
  <c r="H24" i="19"/>
  <c r="I24" i="19"/>
  <c r="J24" i="19"/>
  <c r="K24" i="19"/>
  <c r="E25" i="19"/>
  <c r="F25" i="19"/>
  <c r="G25" i="19"/>
  <c r="H25" i="19"/>
  <c r="I25" i="19"/>
  <c r="J25" i="19"/>
  <c r="K25" i="19"/>
  <c r="E26" i="19"/>
  <c r="F26" i="19"/>
  <c r="G26" i="19"/>
  <c r="H26" i="19"/>
  <c r="I26" i="19"/>
  <c r="J26" i="19"/>
  <c r="K26" i="19"/>
  <c r="E27" i="19"/>
  <c r="F27" i="19"/>
  <c r="G27" i="19"/>
  <c r="H27" i="19"/>
  <c r="I27" i="19"/>
  <c r="J27" i="19"/>
  <c r="K27" i="19"/>
  <c r="E28" i="19"/>
  <c r="F28" i="19"/>
  <c r="G28" i="19"/>
  <c r="H28" i="19"/>
  <c r="I28" i="19"/>
  <c r="J28" i="19"/>
  <c r="K28" i="19"/>
  <c r="E29" i="19"/>
  <c r="F29" i="19"/>
  <c r="G29" i="19"/>
  <c r="H29" i="19"/>
  <c r="I29" i="19"/>
  <c r="J29" i="19"/>
  <c r="K29" i="19"/>
  <c r="E30" i="19"/>
  <c r="F30" i="19"/>
  <c r="G30" i="19"/>
  <c r="H30" i="19"/>
  <c r="I30" i="19"/>
  <c r="J30" i="19"/>
  <c r="K30" i="19"/>
  <c r="E31" i="19"/>
  <c r="F31" i="19"/>
  <c r="G31" i="19"/>
  <c r="H31" i="19"/>
  <c r="I31" i="19"/>
  <c r="J31" i="19"/>
  <c r="K31" i="19"/>
  <c r="E32" i="19"/>
  <c r="F32" i="19"/>
  <c r="G32" i="19"/>
  <c r="H32" i="19"/>
  <c r="I32" i="19"/>
  <c r="J32" i="19"/>
  <c r="K32" i="19"/>
  <c r="E33" i="19"/>
  <c r="F33" i="19"/>
  <c r="G33" i="19"/>
  <c r="H33" i="19"/>
  <c r="I33" i="19"/>
  <c r="J33" i="19"/>
  <c r="K33" i="19"/>
  <c r="E34" i="19"/>
  <c r="F34" i="19"/>
  <c r="G34" i="19"/>
  <c r="H34" i="19"/>
  <c r="I34" i="19"/>
  <c r="J34" i="19"/>
  <c r="K34" i="19"/>
  <c r="E35" i="19"/>
  <c r="F35" i="19"/>
  <c r="G35" i="19"/>
  <c r="H35" i="19"/>
  <c r="I35" i="19"/>
  <c r="J35" i="19"/>
  <c r="K35" i="19"/>
  <c r="E36" i="19"/>
  <c r="F36" i="19"/>
  <c r="G36" i="19"/>
  <c r="H36" i="19"/>
  <c r="I36" i="19"/>
  <c r="J36" i="19"/>
  <c r="K36" i="19"/>
  <c r="E4" i="19"/>
  <c r="F4" i="19"/>
  <c r="G4" i="19"/>
  <c r="H4" i="19"/>
  <c r="I4" i="19"/>
  <c r="J4" i="19"/>
  <c r="K4" i="19"/>
  <c r="E5" i="19"/>
  <c r="F5" i="19"/>
  <c r="G5" i="19"/>
  <c r="H5" i="19"/>
  <c r="I5" i="19"/>
  <c r="J5" i="19"/>
  <c r="K5" i="19"/>
  <c r="E6" i="19"/>
  <c r="F6" i="19"/>
  <c r="G6" i="19"/>
  <c r="H6" i="19"/>
  <c r="I6" i="19"/>
  <c r="J6" i="19"/>
  <c r="K6" i="19"/>
  <c r="F3" i="19"/>
  <c r="G3" i="19"/>
  <c r="H3" i="19"/>
  <c r="I3" i="19"/>
  <c r="J3" i="19"/>
  <c r="K3" i="19"/>
  <c r="E3" i="19"/>
  <c r="D43" i="18"/>
  <c r="E43" i="18"/>
  <c r="F43" i="18"/>
  <c r="D45" i="18"/>
  <c r="E45" i="18"/>
  <c r="F45" i="18"/>
  <c r="D47" i="18"/>
  <c r="E47" i="18"/>
  <c r="F47" i="18"/>
  <c r="D49" i="18"/>
  <c r="E49" i="18"/>
  <c r="F49" i="18"/>
  <c r="D23" i="18"/>
  <c r="E23" i="18"/>
  <c r="F23" i="18"/>
  <c r="D25" i="18"/>
  <c r="E25" i="18"/>
  <c r="F25" i="18"/>
  <c r="D27" i="18"/>
  <c r="E27" i="18"/>
  <c r="F27" i="18"/>
  <c r="D29" i="18"/>
  <c r="E29" i="18"/>
  <c r="F29" i="18"/>
  <c r="D31" i="18"/>
  <c r="E31" i="18"/>
  <c r="F31" i="18"/>
  <c r="D33" i="18"/>
  <c r="E33" i="18"/>
  <c r="F33" i="18"/>
  <c r="D35" i="18"/>
  <c r="E35" i="18"/>
  <c r="F35" i="18"/>
  <c r="D37" i="18"/>
  <c r="E37" i="18"/>
  <c r="F37" i="18"/>
  <c r="D39" i="18"/>
  <c r="E39" i="18"/>
  <c r="F39" i="18"/>
  <c r="D41" i="18"/>
  <c r="E41" i="18"/>
  <c r="F41" i="18"/>
  <c r="D9" i="18"/>
  <c r="E9" i="18"/>
  <c r="F9" i="18"/>
  <c r="D11" i="18"/>
  <c r="E11" i="18"/>
  <c r="F11" i="18"/>
  <c r="D13" i="18"/>
  <c r="E13" i="18"/>
  <c r="F13" i="18"/>
  <c r="D15" i="18"/>
  <c r="E15" i="18"/>
  <c r="F15" i="18"/>
  <c r="D17" i="18"/>
  <c r="E17" i="18"/>
  <c r="F17" i="18"/>
  <c r="D19" i="18"/>
  <c r="E19" i="18"/>
  <c r="F19" i="18"/>
  <c r="D21" i="18"/>
  <c r="E21" i="18"/>
  <c r="F21" i="18"/>
  <c r="F7" i="18"/>
  <c r="E7" i="18"/>
  <c r="D7" i="18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S7" i="17"/>
  <c r="T7" i="17"/>
  <c r="H7" i="17"/>
  <c r="I7" i="17"/>
  <c r="J7" i="17"/>
  <c r="K7" i="17"/>
  <c r="L7" i="17"/>
  <c r="M7" i="17"/>
  <c r="N7" i="17"/>
  <c r="O7" i="17"/>
  <c r="P7" i="17"/>
  <c r="Q7" i="17"/>
  <c r="R7" i="17"/>
  <c r="G7" i="17"/>
  <c r="F8" i="17"/>
  <c r="F9" i="17"/>
  <c r="F10" i="17"/>
  <c r="F11" i="17"/>
  <c r="F12" i="17"/>
  <c r="F13" i="17"/>
  <c r="F7" i="17"/>
  <c r="E8" i="17"/>
  <c r="E9" i="17"/>
  <c r="E10" i="17"/>
  <c r="E11" i="17"/>
  <c r="E12" i="17"/>
  <c r="E13" i="17"/>
  <c r="E7" i="17"/>
  <c r="E14" i="2" l="1"/>
  <c r="E13" i="2"/>
  <c r="E12" i="2"/>
  <c r="E8" i="14" l="1"/>
  <c r="E9" i="14"/>
  <c r="E10" i="14"/>
  <c r="E11" i="14"/>
  <c r="E12" i="14"/>
  <c r="E13" i="14"/>
  <c r="E7" i="14"/>
  <c r="E6" i="14"/>
  <c r="E2" i="14"/>
  <c r="E8" i="11" l="1"/>
  <c r="E9" i="11"/>
  <c r="E10" i="11"/>
  <c r="E7" i="11"/>
  <c r="E6" i="11"/>
  <c r="E2" i="11"/>
  <c r="E7" i="9"/>
  <c r="E8" i="9"/>
  <c r="E9" i="9"/>
  <c r="E10" i="9"/>
  <c r="E11" i="9"/>
  <c r="E12" i="9"/>
  <c r="E6" i="9"/>
  <c r="E2" i="9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6" i="7"/>
  <c r="E2" i="7"/>
  <c r="E2" i="2"/>
  <c r="E6" i="2"/>
  <c r="E7" i="2"/>
  <c r="E8" i="2"/>
  <c r="E9" i="2"/>
  <c r="E10" i="2"/>
  <c r="E11" i="2"/>
  <c r="E15" i="2"/>
</calcChain>
</file>

<file path=xl/sharedStrings.xml><?xml version="1.0" encoding="utf-8"?>
<sst xmlns="http://schemas.openxmlformats.org/spreadsheetml/2006/main" count="683" uniqueCount="302">
  <si>
    <t>UserID</t>
  </si>
  <si>
    <t>LocalDietID</t>
  </si>
  <si>
    <t>Calories</t>
  </si>
  <si>
    <t>TotalFat</t>
  </si>
  <si>
    <t>SaturatedFat</t>
  </si>
  <si>
    <t>TransFat</t>
  </si>
  <si>
    <t>Cholesterol</t>
  </si>
  <si>
    <t>Sodium</t>
  </si>
  <si>
    <t>TotalCarbs</t>
  </si>
  <si>
    <t>DietaryFiber</t>
  </si>
  <si>
    <t>Sugars</t>
  </si>
  <si>
    <t>Protein</t>
  </si>
  <si>
    <t>VitaminA</t>
  </si>
  <si>
    <t>VitaminB</t>
  </si>
  <si>
    <t>Calcium</t>
  </si>
  <si>
    <t>Iron</t>
  </si>
  <si>
    <t>INT</t>
  </si>
  <si>
    <t>Date</t>
  </si>
  <si>
    <t>DATE</t>
  </si>
  <si>
    <t>FoodType</t>
  </si>
  <si>
    <t>VARCHAR(40)</t>
  </si>
  <si>
    <t>Meal</t>
  </si>
  <si>
    <t>VARCHAR(20)</t>
  </si>
  <si>
    <t>Column Name</t>
  </si>
  <si>
    <t>Notes</t>
  </si>
  <si>
    <t>VARCHAR(255)</t>
  </si>
  <si>
    <t>ServingSize</t>
  </si>
  <si>
    <t>Column Type</t>
  </si>
  <si>
    <t>WebMoodID</t>
  </si>
  <si>
    <t>Mood</t>
  </si>
  <si>
    <t>Column Name Local</t>
  </si>
  <si>
    <t>Column Type Local</t>
  </si>
  <si>
    <t>Local String name</t>
  </si>
  <si>
    <t>TABLE_NAME</t>
  </si>
  <si>
    <t>Additional column type</t>
  </si>
  <si>
    <t>PRIMARY KEY Identity(1,1)</t>
  </si>
  <si>
    <t>LocalMoodID</t>
  </si>
  <si>
    <t>LOCAL_MOOD_ID</t>
  </si>
  <si>
    <t>NOT NULL FOREIGN KEY REFERENCES [dbo].[LoginTable]</t>
  </si>
  <si>
    <t>UserName</t>
  </si>
  <si>
    <t>varchar(50) Not Null</t>
  </si>
  <si>
    <t>NOT NULL</t>
  </si>
  <si>
    <t>int Null</t>
  </si>
  <si>
    <t>WEB_MOOD_ID</t>
  </si>
  <si>
    <t>date Not Null</t>
  </si>
  <si>
    <t>Time</t>
  </si>
  <si>
    <t>TIME</t>
  </si>
  <si>
    <t>time Not Null</t>
  </si>
  <si>
    <t>Depression</t>
  </si>
  <si>
    <t>NULL</t>
  </si>
  <si>
    <t>DEP</t>
  </si>
  <si>
    <t>Elevated</t>
  </si>
  <si>
    <t>ELEV</t>
  </si>
  <si>
    <t>Irritable</t>
  </si>
  <si>
    <t>IRR</t>
  </si>
  <si>
    <t>Anxiety</t>
  </si>
  <si>
    <t>ANX</t>
  </si>
  <si>
    <t>varchar(255)</t>
  </si>
  <si>
    <t>NOTE</t>
  </si>
  <si>
    <t>USER_NAME</t>
  </si>
  <si>
    <t>Local Table Create(Android Studio)</t>
  </si>
  <si>
    <t>Diet</t>
  </si>
  <si>
    <t>WebDietID</t>
  </si>
  <si>
    <t>varchar(20) Null</t>
  </si>
  <si>
    <t>LOCAL_DIET_ID</t>
  </si>
  <si>
    <t>WEB_DIET_ID</t>
  </si>
  <si>
    <t>TYPE</t>
  </si>
  <si>
    <t>MEAL</t>
  </si>
  <si>
    <t>CALORIES</t>
  </si>
  <si>
    <t>CHOLESTEROL</t>
  </si>
  <si>
    <t>SODIUM</t>
  </si>
  <si>
    <t>FIBER</t>
  </si>
  <si>
    <t>SUGARS</t>
  </si>
  <si>
    <t>PROTEIN</t>
  </si>
  <si>
    <t>CALCIUM</t>
  </si>
  <si>
    <t>IRON</t>
  </si>
  <si>
    <t>SERVING</t>
  </si>
  <si>
    <t>TOTALFAT</t>
  </si>
  <si>
    <t>TRANSFAT</t>
  </si>
  <si>
    <t>TOTALCARBS</t>
  </si>
  <si>
    <t>VITAMINA</t>
  </si>
  <si>
    <t>VITAMINB</t>
  </si>
  <si>
    <t>SATFAT</t>
  </si>
  <si>
    <t>Comments</t>
  </si>
  <si>
    <t>Exercise</t>
  </si>
  <si>
    <t>LOCAL_EXERCISE_ID</t>
  </si>
  <si>
    <t>WEB_EXERCISE_ID</t>
  </si>
  <si>
    <t>WebExerciseID</t>
  </si>
  <si>
    <t>LocalExerciseID</t>
  </si>
  <si>
    <t>TITLE</t>
  </si>
  <si>
    <t>MINUTES</t>
  </si>
  <si>
    <t>INTY</t>
  </si>
  <si>
    <t>NOTES</t>
  </si>
  <si>
    <t>Title</t>
  </si>
  <si>
    <t>Type</t>
  </si>
  <si>
    <t>Minutes</t>
  </si>
  <si>
    <t>Inty</t>
  </si>
  <si>
    <t>DateEx</t>
  </si>
  <si>
    <t>TimeEx</t>
  </si>
  <si>
    <t>VARCHAR(140)</t>
  </si>
  <si>
    <t>TINYINT</t>
  </si>
  <si>
    <t>Sleep</t>
  </si>
  <si>
    <t>WebSleepID</t>
  </si>
  <si>
    <t>LocalSleepID</t>
  </si>
  <si>
    <t>LOCAL_SLEEP_ID</t>
  </si>
  <si>
    <t>WEB_SLEEP_ID</t>
  </si>
  <si>
    <t>Duration</t>
  </si>
  <si>
    <t>Quality</t>
  </si>
  <si>
    <t>VARCHAR(300)</t>
  </si>
  <si>
    <t>varchar(300)</t>
  </si>
  <si>
    <t>DURATION</t>
  </si>
  <si>
    <t>QUALITY</t>
  </si>
  <si>
    <t>Local Strings(Android Studio)</t>
  </si>
  <si>
    <t>The local sleep ID is a unique identifier for each entry on the local database</t>
  </si>
  <si>
    <t>The web sleep ID is a unique identifier for each entry on the BIOMETRIX database</t>
  </si>
  <si>
    <t>ID used for primary key</t>
  </si>
  <si>
    <t>Username from shared preferences</t>
  </si>
  <si>
    <t>Title will help co-determine the module mode e.g. Simple mode (yay I walked to the fridge), Gainz mode (weight and reps etc.)</t>
  </si>
  <si>
    <t>light, cardio, etc.</t>
  </si>
  <si>
    <t>minutes exercised</t>
  </si>
  <si>
    <t>Table Name (Next line)</t>
  </si>
  <si>
    <t>Name of column array (next line)</t>
  </si>
  <si>
    <t>cols</t>
  </si>
  <si>
    <t>columns</t>
  </si>
  <si>
    <t>Local Columns(Android Studio)</t>
  </si>
  <si>
    <t>This spreadsheet uses macros to attempt to make our lives easier when making changes to a table on the our database.</t>
  </si>
  <si>
    <t>Macros can be accessed from View -&gt; Macros</t>
  </si>
  <si>
    <t>It takes information from the current page and uses it to make an Output page that has the SQL created on it</t>
  </si>
  <si>
    <t>It is expected that the local primary key will be on row 5 in column A, and row 3 in column E</t>
  </si>
  <si>
    <t>Vice versa for the webkey (e.g. local in row 3 column A and row 5 column E)</t>
  </si>
  <si>
    <t>The information on the lefthand side refers to the webdatabase columns which is why it is slightly different from the righthandside which is the local database</t>
  </si>
  <si>
    <t>The main macro is CreateSQLStatements (I bound it to Ctrl+shift+R, but I am not sure if my bindings will transfer via git)</t>
  </si>
  <si>
    <t>The secondary macro is  CopyCellContents (I bound it to Ctrl+Shift+C)</t>
  </si>
  <si>
    <t>Normally when you copy text from Excel it enjoys throwing tons of random quotes in, so this copies the current cell without any extra quotes</t>
  </si>
  <si>
    <t>It is usefully when you are wanting to copy and paste the output</t>
  </si>
  <si>
    <t>USE [Biometrix]_x000D_
GO_x000D_
_x000D_
if Object_ID('[dbo].[Diet]') is NOT NULL_x000D_
BEGIN_x000D_
DROP TABLE [dbo].[Diet]_x000D_
END_x000D_
GO_x000D_
_x000D_
CREATE TABLE [dbo].[Diet](_x000D_
	[WebDietID] INT PRIMARY KEY Identity(1,1)_x000D_
	, [UserID] INT NOT NULL FOREIGN KEY REFERENCES [dbo].[LoginTable]_x000D_
	, [LocalDietID] INT NOT NULL_x000D_
	, [Date] DATE NOT NULL_x000D_
	, [FoodType] VARCHAR(40) NULL_x000D_
	, [Meal] VARCHAR(20) NULL_x000D_
	, [ServingSize] VARCHAR(20) NULL_x000D_
	, [Calories] INT NULL_x000D_
	, [TotalFat] INT NULL_x000D_
	, [SaturatedFat] INT NULL_x000D_
	, [TransFat] INT NULL_x000D_
	, [Cholesterol] INT NULL_x000D_
	, [Sodium] INT NULL_x000D_
	, [TotalCarbs] INT NULL_x000D_
	, [DietaryFiber] INT NULL_x000D_
	, [Sugars] INT NULL_x000D_
	, [Protein] INT NULL_x000D_
	, [VitaminA] INT NULL_x000D_
	, [VitaminB] INT NULL_x000D_
	, [Calcium] INT NULL_x000D_
	, [Iron] INT NULL_x000D_
	, [Notes] VARCHAR(255) NULL_x000D_
);_x000D_
GO</t>
  </si>
  <si>
    <t>Web Table Create(SQL-WebDatabase)</t>
  </si>
  <si>
    <t>Insert Procedure(SQL-WebDatabase)</t>
  </si>
  <si>
    <t>Update Procedure(SQL-WebDatabase)</t>
  </si>
  <si>
    <t>USE [Biometrix]_x000D_
GO_x000D_
if Object_ID('DietInsert') is NOT NULL_x000D_
BEGIN_x000D_
DROP PROCEDURE DietInsert_x000D_
END_x000D_
GO_x000D_
_x000D_
CREATE PROCEDURE DietInsert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Insert Into dbo.Diet_x000D_
([UserID], [LocalDietID], [Date], [FoodType], [Meal], [ServingSize], [Calories], [TotalFat], [SaturatedFat], _x000D_
[TransFat], [Cholesterol], [Sodium], [TotalCarbs], [DietaryFiber], [Sugars], [Protein], [VitaminA], [VitaminB], _x000D_
[Calcium], [Iron], [Notes])_x000D_
Values_x000D_
(@UserID2, @LocalDietID2, @Date, @FoodType, @Meal, @ServingSize, @Calories2, @TotalFat2, @SaturatedFat2, _x000D_
@TransFat2, @Cholesterol2, @Sodium2, @TotalCarbs2, @DietaryFiber2, @Sugars2, @Protein2, @VitaminA2, @VitaminB2, _x000D_
@Calcium2, @Iron2, @Notes)_x000D_
_x000D_
Select [LocalDietID], [WebDietID] From dbo.Diet_x000D_
Where [UserID] = @UserID2 AND [LocalDietID] = @LocalDietID2_x000D_
GO</t>
  </si>
  <si>
    <t>case "Diet":_x000D_
$prep_string = "Exec Diet$operation";_x000D_
$prep_string = $prep_string . " @UserID = :UserID";_x000D_
$prep_string = $prep_string . ", @LocalDietID = :LocalDietID";_x000D_
$prep_string = $prep_string . ", @Date = :Date";_x000D_
$prep_string = $prep_string . ", @FoodType = :FoodType";_x000D_
$prep_string = $prep_string . ", @Meal = :Meal";_x000D_
$prep_string = $prep_string . ", @ServingSize = :ServingSize";_x000D_
$prep_string = $prep_string . ", @Calories = :Calories";_x000D_
$prep_string = $prep_string . ", @TotalFat = :TotalFat";_x000D_
$prep_string = $prep_string . ", @SaturatedFat = :SaturatedFat";_x000D_
$prep_string = $prep_string . ", @TransFat = :TransFat";_x000D_
$prep_string = $prep_string . ", @Cholesterol = :Cholesterol";_x000D_
$prep_string = $prep_string . ", @Sodium = :Sodium";_x000D_
$prep_string = $prep_string . ", @TotalCarbs = :TotalCarbs";_x000D_
$prep_string = $prep_string . ", @DietaryFiber = :DietaryFiber";_x000D_
$prep_string = $prep_string . ", @Sugars = :Sugars";_x000D_
$prep_string = $prep_string . ", @Protein = :Protein";_x000D_
$prep_string = $prep_string . ", @VitaminA = :VitaminA";_x000D_
$prep_string = $prep_string . ", @VitaminB = :VitaminB";_x000D_
$prep_string = $prep_string . ", @Calcium = :Calcium";_x000D_
$prep_string = $prep_string . ", @Iron = :Iron";_x000D_
$prep_string = $prep_string . ", @Notes = :Notes";_x000D_
_x000D_
if ($operation == "Update")_x000D_
{_x000D_
	$prep_string = $prep_string . ", @WebDietID = :WebDietID";_x000D_
}_x000D_
_x000D_
$stmt_handle = $db_connection-&gt;Prepare($prep_string);_x000D_
_x000D_
$cols = array();_x000D_
$cols["1"] = "UserID";_x000D_
$cols["2"] = "LocalDietID";_x000D_
$cols["3"] = "Date";_x000D_
$cols["4"] = "FoodType";_x000D_
$cols["5"] = "Meal";_x000D_
$cols["6"] = "ServingSize";_x000D_
$cols["7"] = "Calories";_x000D_
$cols["8"] = "TotalFat";_x000D_
$cols["9"] = "SaturatedFat";_x000D_
$cols["10"] = "TransFat";_x000D_
$cols["11"] = "Cholesterol";_x000D_
$cols["12"] = "Sodium";_x000D_
$cols["13"] = "TotalCarbs";_x000D_
$cols["14"] = "DietaryFiber";_x000D_
$cols["15"] = "Sugars";_x000D_
$cols["16"] = "Protein";_x000D_
$cols["17"] = "VitaminA";_x000D_
$cols["18"] = "VitaminB";_x000D_
$cols["19"] = "Calcium";_x000D_
$cols["20"] = "Iron";_x000D_
$cols["21"] = "Notes";_x000D_
_x000D_
if ($operation == "Update")_x000D_
{_x000D_
	$cols["22"] = "WebDietID";_x000D_
}_x000D_
break;</t>
  </si>
  <si>
    <t>LOCAL_MEDICATION_ID</t>
  </si>
  <si>
    <t>WEB_MEDICATION_ID</t>
  </si>
  <si>
    <t>Medication</t>
  </si>
  <si>
    <t>WebMedicationID</t>
  </si>
  <si>
    <t>LocalMedicationID</t>
  </si>
  <si>
    <t>BrandName</t>
  </si>
  <si>
    <t>Prescriber</t>
  </si>
  <si>
    <t>Dose</t>
  </si>
  <si>
    <t>Instructions</t>
  </si>
  <si>
    <t>Warnings</t>
  </si>
  <si>
    <t>varchar(255) null</t>
  </si>
  <si>
    <t>BRAND_NAME</t>
  </si>
  <si>
    <t>PRESCRIBER</t>
  </si>
  <si>
    <t>DOSE</t>
  </si>
  <si>
    <t>INSTRUCTIONS</t>
  </si>
  <si>
    <t>WARNINGS</t>
  </si>
  <si>
    <t>USE [Biometrix]_x000D_
GO_x000D_
_x000D_
if Object_ID('[dbo].[Medication]') is NOT NULL_x000D_
BEGIN_x000D_
DROP TABLE [dbo].[Medication]_x000D_
END_x000D_
GO_x000D_
_x000D_
CREATE TABLE [dbo].[Medication](_x000D_
	[WebMedicationID] INT PRIMARY KEY Identity(1,1)_x000D_
	, [UserID] INT NOT NULL FOREIGN KEY REFERENCES [dbo].[LoginTable]_x000D_
	, [LocalMedicationID] INT NOT NULL_x000D_
	, [Date] DATE NOT NULL_x000D_
	, [Time] TIME NOT NULL_x000D_
	, [BrandName] VARCHAR(255) NULL_x000D_
	, [Prescriber] VARCHAR(255) NULL_x000D_
	, [Dose] VARCHAR(255) NULL_x000D_
	, [Instructions] VARCHAR(255) NULL_x000D_
	, [Warnings] VARCHAR(255) NULL_x000D_
	, [Notes] VARCHAR(255) NULL_x000D_
);_x000D_
GO</t>
  </si>
  <si>
    <t>USE [Biometrix]_x000D_
GO_x000D_
if Object_ID('MedicationInsert') is NOT NULL_x000D_
BEGIN_x000D_
DROP PROCEDURE MedicationInsert_x000D_
END_x000D_
GO_x000D_
_x000D_
CREATE PROCEDURE MedicationInsert @UserID VARCHAR(50), @LocalMedicationID VARCHAR(50), _x000D_
@Date DATE, @Time TIME, @BrandName VARCHAR(255), @Prescriber VARCHAR(255), @Dose VARCHAR(255), @Instructions VARCHAR(255), _x000D_
@Warnings VARCHAR(255), @Notes VARCHAR(255)_x000D_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Insert Into dbo.Medication_x000D_
([UserID], [LocalMedicationID], [Date], [Time], [BrandName], [Prescriber], [Dose], [Instructions], [Warnings], _x000D_
[Notes])_x000D_
Values_x000D_
(@UserID2, @LocalMedicationID2, @Date, @Time, @BrandName, @Prescriber, @Dose, @Instructions, @Warnings, _x000D_
@Notes)_x000D_
_x000D_
Select [LocalMedicationID], [WebMedicationID] From dbo.Medication_x000D_
Where [UserID] = @UserID2 AND [LocalMedicationID] = @LocalMedicationID2_x000D_
GO</t>
  </si>
  <si>
    <t>case "Medication":_x000D_
$prep_string = "Exec Medication$operation";_x000D_
$prep_string = $prep_string . " @UserID = :UserID";_x000D_
$prep_string = $prep_string . ", @LocalMedicationID = :LocalMedicationID";_x000D_
$prep_string = $prep_string . ", @Date = :Date";_x000D_
$prep_string = $prep_string . ", @Time = :Time";_x000D_
$prep_string = $prep_string . ", @BrandName = :BrandName";_x000D_
$prep_string = $prep_string . ", @Prescriber = :Prescriber";_x000D_
$prep_string = $prep_string . ", @Dose = :Dose";_x000D_
$prep_string = $prep_string . ", @Instructions = :Instructions";_x000D_
$prep_string = $prep_string . ", @Warnings = :Warnings";_x000D_
$prep_string = $prep_string . ", @Notes = :Notes";_x000D_
_x000D_
if ($operation == "Update")_x000D_
{_x000D_
	$prep_string = $prep_string . ", @WebMedicationID = :WebMedicationID";_x000D_
}_x000D_
_x000D_
$stmt_handle = $db_connection-&gt;Prepare($prep_string);_x000D_
_x000D_
$cols = array();_x000D_
$cols["1"] = "UserID";_x000D_
$cols["2"] = "LocalMedicationID";_x000D_
$cols["3"] = "Date";_x000D_
$cols["4"] = "Time";_x000D_
$cols["5"] = "BrandName";_x000D_
$cols["6"] = "Prescriber";_x000D_
$cols["7"] = "Dose";_x000D_
$cols["8"] = "Instructions";_x000D_
$cols["9"] = "Warnings";_x000D_
$cols["10"] = "Notes";_x000D_
_x000D_
if ($operation == "Update")_x000D_
{_x000D_
	$cols["11"] = "WebMedicationID";_x000D_
}_x000D_
break;</t>
  </si>
  <si>
    <t>public static final String TABLE_NAME = "Diet";_x000D_
public static final String LOCAL_DIET_ID = "LocalDietID";_x000D_
public static final String USER_NAME = "UserName";_x000D_
public static final String WEB_DIET_ID = "WebDietID";_x000D_
public static final String DATE = "Date";_x000D_
public static final String TYPE = "FoodType";_x000D_
public static final String MEAL = "Meal";_x000D_
public static final String SERVING = "ServingSize";_x000D_
public static final String CALORIES = "Calories";_x000D_
public static final String TOTALFAT = "TotalFat";_x000D_
public static final String SATFAT = "SaturatedFat";_x000D_
public static final String TRANSFAT = "TransFat";_x000D_
public static final String CHOLESTEROL = "Cholesterol";_x000D_
public static final String SODIUM = "Sodium";_x000D_
public static final String TOTALCARBS = "TotalCarbs";_x000D_
public static final String FIBER = "DietaryFiber";_x000D_
public static final String SUGARS = "Sugars";_x000D_
public static final String PROTEIN = "Protein";_x000D_
public static final String VITAMINA = "VitaminA";_x000D_
public static final String VITAMINB = "VitaminB";_x000D_
public static final String CALCIUM = "Calcium";_x000D_
public static final String IRON = "Iron";_x000D_
public static final String NOTE = "Notes";</t>
  </si>
  <si>
    <t>public static final String[] cols = {LOCAL_DIET_ID, USER_NAME, WEB_DIET_ID, DATE, _x000D_
TYPE, MEAL, SERVING, CALORIES, TOTALFAT, SATFAT, TRANSFAT, CHOLESTEROL, SODIUM, TOTALCARBS, _x000D_
FIBER, SUGARS, PROTEIN, VITAMINA, VITAMINB, CALCIUM, IRON, NOTE};</t>
  </si>
  <si>
    <t>public static final String TABLE_NAME = "Medication";_x000D_
public static final String LOCAL_MEDICATION_ID = "LocalMedicationID";_x000D_
public static final String USER_NAME = "UserName";_x000D_
public static final String WEB_MEDICATION_ID = "WebMedicationID";_x000D_
public static final String DATE = "Date";_x000D_
public static final String TIME = "Time";_x000D_
public static final String BRAND_NAME = "BrandName";_x000D_
public static final String PRESCRIBER = "Prescriber";_x000D_
public static final String DOSE = "Dose";_x000D_
public static final String INSTRUCTIONS = "Instructions";_x000D_
public static final String WARNINGS = "Warnings";_x000D_
public static final String NOTES = "Notes";</t>
  </si>
  <si>
    <t>public static final String[] columns = {LOCAL_MEDICATION_ID, USER_NAME, WEB_MEDICATION_ID, _x000D_
DATE, TIME, BRAND_NAME, PRESCRIBER, DOSE, INSTRUCTIONS, WARNINGS, NOTES};</t>
  </si>
  <si>
    <t>Insert/Update Procedure(PHP - Webserver)</t>
  </si>
  <si>
    <t>Delete Procedure(SQL-WebDatabase)</t>
  </si>
  <si>
    <t>integer primary key autoincrement</t>
  </si>
  <si>
    <t>case "Mood":_x000D_
$prep_string = "Exec MoodDelete";_x000D_
$prep_string = $prep_string . " @WebMoodID = :WebMoodID";_x000D_
$prep_string = $prep_string . ", @UserID = :UserID";_x000D_
_x000D_
$stmt_handle = $db_connection-&gt;Prepare($prep_string);_x000D_
_x000D_
$cols = array();_x000D_
$cols["1"] = "WebMoodID";_x000D_
$cols["2"] = "UserID";_x000D_
break;</t>
  </si>
  <si>
    <t>Delete Procedure(PHP - Webserver)</t>
  </si>
  <si>
    <t>case "Diet":_x000D_
$prep_string = "Exec DietDelete";_x000D_
$prep_string = $prep_string . " @WebDietID = :WebDietID";_x000D_
$prep_string = $prep_string . ", @UserID = :UserID";_x000D_
_x000D_
$stmt_handle = $db_connection-&gt;Prepare($prep_string);_x000D_
_x000D_
$cols = array();_x000D_
$cols["1"] = "WebDietID";_x000D_
$cols["2"] = "UserID";_x000D_
break;</t>
  </si>
  <si>
    <t>case "Exercise":_x000D_
$prep_string = "Exec ExerciseDelete";_x000D_
$prep_string = $prep_string . " @WebExerciseID = :WebExerciseID";_x000D_
$prep_string = $prep_string . ", @UserID = :UserID";_x000D_
_x000D_
$stmt_handle = $db_connection-&gt;Prepare($prep_string);_x000D_
_x000D_
$cols = array();_x000D_
$cols["1"] = "WebExerciseID";_x000D_
$cols["2"] = "UserID";_x000D_
break;</t>
  </si>
  <si>
    <t>case "Sleep":_x000D_
$prep_string = "Exec SleepDelete";_x000D_
$prep_string = $prep_string . " @WebSleepID = :WebSleepID";_x000D_
$prep_string = $prep_string . ", @UserID = :UserID";_x000D_
_x000D_
$stmt_handle = $db_connection-&gt;Prepare($prep_string);_x000D_
_x000D_
$cols = array();_x000D_
$cols["1"] = "WebSleepID";_x000D_
$cols["2"] = "UserID";_x000D_
break;</t>
  </si>
  <si>
    <t>case "Medication":_x000D_
$prep_string = "Exec MedicationDelete";_x000D_
$prep_string = $prep_string . " @WebMedicationID = :WebMedicationID";_x000D_
$prep_string = $prep_string . ", @UserID = :UserID";_x000D_
_x000D_
$stmt_handle = $db_connection-&gt;Prepare($prep_string);_x000D_
_x000D_
$cols = array();_x000D_
$cols["1"] = "WebMedicationID";_x000D_
$cols["2"] = "UserID";_x000D_
break;</t>
  </si>
  <si>
    <t>Pull Procedure(PHP - Webserver)</t>
  </si>
  <si>
    <t>case "Diet":_x000D_
$prep_string = "Select ";_x000D_
$prep_string = $prep_string . "WebDietID";_x000D_
$prep_string = $prep_string . ", UserID";_x000D_
$prep_string = $prep_string . ", LocalDietID";_x000D_
$prep_string = $prep_string . ", Date";_x000D_
$prep_string = $prep_string . ", FoodType";_x000D_
$prep_string = $prep_string . ", Meal";_x000D_
$prep_string = $prep_string . ", ServingSize";_x000D_
$prep_string = $prep_string . ", Calories";_x000D_
$prep_string = $prep_string . ", TotalFat";_x000D_
$prep_string = $prep_string . ", SaturatedFat";_x000D_
$prep_string = $prep_string . ", TransFat";_x000D_
$prep_string = $prep_string . ", Cholesterol";_x000D_
$prep_string = $prep_string . ", Sodium";_x000D_
$prep_string = $prep_string . ", TotalCarbs";_x000D_
$prep_string = $prep_string . ", DietaryFiber";_x000D_
$prep_string = $prep_string . ", Sugars";_x000D_
$prep_string = $prep_string . ", Protein";_x000D_
$prep_string = $prep_string . ", VitaminA";_x000D_
$prep_string = $prep_string . ", VitaminB";_x000D_
$prep_string = $prep_string . ", Calcium";_x000D_
$prep_string = $prep_string . ", Iron";_x000D_
$prep_string = $prep_string . ", Notes";_x000D_
$prep_string = $prep_string . " From Biometrix.dbo.Diet";_x000D_
$prep_string = $prep_string . " LEFT JOIN #TempID ON ID = WebDietID";_x000D_
$prep_string = $prep_string . " Where [UserId] = ? AND ID is null";_x000D_
_x000D_
$stmt_handle = $db_connection-&gt;Prepare($prep_string);_x000D_
_x000D_
$num_cols = 22;_x000D_
_x000D_
$cols = array();_x000D_
$cols[0] = "WebDietID";_x000D_
$cols[1] = "UserID";_x000D_
$cols[2] = "LocalDietID";_x000D_
$cols[3] = "Date";_x000D_
$cols[4] = "FoodType";_x000D_
$cols[5] = "Meal";_x000D_
$cols[6] = "ServingSize";_x000D_
$cols[7] = "Calories";_x000D_
$cols[8] = "TotalFat";_x000D_
$cols[9] = "SaturatedFat";_x000D_
$cols[10] = "TransFat";_x000D_
$cols[11] = "Cholesterol";_x000D_
$cols[12] = "Sodium";_x000D_
$cols[13] = "TotalCarbs";_x000D_
$cols[14] = "DietaryFiber";_x000D_
$cols[15] = "Sugars";_x000D_
$cols[16] = "Protein";_x000D_
$cols[17] = "VitaminA";_x000D_
$cols[18] = "VitaminB";_x000D_
$cols[19] = "Calcium";_x000D_
$cols[20] = "Iron";_x000D_
$cols[21] = "Notes";_x000D_
break;</t>
  </si>
  <si>
    <t>case "Medication":_x000D_
$prep_string = "Select ";_x000D_
$prep_string = $prep_string . "WebMedicationID";_x000D_
$prep_string = $prep_string . ", UserID";_x000D_
$prep_string = $prep_string . ", LocalMedicationID";_x000D_
$prep_string = $prep_string . ", Date";_x000D_
$prep_string = $prep_string . ", convert(varchar(5), Time, 114)";_x000D_
$prep_string = $prep_string . ", BrandName";_x000D_
$prep_string = $prep_string . ", Prescriber";_x000D_
$prep_string = $prep_string . ", Dose";_x000D_
$prep_string = $prep_string . ", Instructions";_x000D_
$prep_string = $prep_string . ", Warnings";_x000D_
$prep_string = $prep_string . ", Notes";_x000D_
$prep_string = $prep_string . " From Biometrix.dbo.Medication";_x000D_
$prep_string = $prep_string . " LEFT JOIN #TempID ON ID = WebMedicationID";_x000D_
$prep_string = $prep_string . " Where [UserId] = ? AND ID is null";_x000D_
_x000D_
$stmt_handle = $db_connection-&gt;Prepare($prep_string);_x000D_
_x000D_
$num_cols = 11;_x000D_
_x000D_
$cols = array();_x000D_
$cols[0] = "WebMedicationID";_x000D_
$cols[1] = "UserID";_x000D_
$cols[2] = "LocalMedicationID";_x000D_
$cols[3] = "Date";_x000D_
$cols[4] = "Time";_x000D_
$cols[5] = "BrandName";_x000D_
$cols[6] = "Prescriber";_x000D_
$cols[7] = "Dose";_x000D_
$cols[8] = "Instructions";_x000D_
$cols[9] = "Warnings";_x000D_
$cols[10] = "Notes";_x000D_
break;</t>
  </si>
  <si>
    <t>Local Int Columns(Android Studio)</t>
  </si>
  <si>
    <t>public static final String[] intcols = {CALORIES, TOTALFAT, SATFAT, TRANSFAT, _x000D_
CHOLESTEROL, SODIUM, TOTALCARBS, FIBER, SUGARS, PROTEIN, VITAMINA, _x000D_
VITAMINB, CALCIUM, IRON};</t>
  </si>
  <si>
    <t>public static final String[] intcolumns = {};</t>
  </si>
  <si>
    <t>public static final String[] intcolumns = {QUALITY};</t>
  </si>
  <si>
    <t>public static final String TABLE_NAME = "Exercise";_x000D_
public static final String LOCAL_EXERCISE_ID = "LocalExerciseID";//ID used for primary key_x000D_
public static final String USER_NAME = "UserName";//Username from shared preferences_x000D_
public static final String WEB_EXERCISE_ID = "WebExerciseID";_x000D_
public static final String TITLE = "Title";//Title will help co-determine the module mode e.g. Simple mode (yay I walked to the fridge), Gainz mode (weight and reps etc.)_x000D_
public static final String TYPE = "Type";//light, cardio, etc._x000D_
public static final String MINUTES = "Minutes";//minutes exercised_x000D_
public static final String INTY = "Inty";_x000D_
public static final String NOTES = "Notes";_x000D_
public static final String DATE = "DateEx";_x000D_
public static final String TIME = "TimeEx";</t>
  </si>
  <si>
    <t>public static final String[] columns = {LOCAL_EXERCISE_ID, USER_NAME, WEB_EXERCISE_ID, _x000D_
TITLE, TYPE, MINUTES, INTY, NOTES, DATE, TIME};</t>
  </si>
  <si>
    <t>public static final String[] intcolumns = {MINUTES, INTY};</t>
  </si>
  <si>
    <t>case "Exercise":_x000D_
$prep_string = "Exec Exercise$operation";_x000D_
$prep_string = $prep_string . " @UserID = :UserID";_x000D_
$prep_string = $prep_string . ", @LocalExerciseID = :LocalExerciseID";_x000D_
$prep_string = $prep_string . ", @Title = :Title";_x000D_
$prep_string = $prep_string . ", @Type = :Type";_x000D_
$prep_string = $prep_string . ", @Minutes = :Minutes";_x000D_
$prep_string = $prep_string . ", @Inty = :Inty";_x000D_
$prep_string = $prep_string . ", @Notes = :Notes";_x000D_
$prep_string = $prep_string . ", @DateEx = :DateEx";_x000D_
$prep_string = $prep_string . ", @TimeEx = :TimeEx";_x000D_
_x000D_
if ($operation == "Update")_x000D_
{_x000D_
	$prep_string = $prep_string . ", @WebExerciseID = :WebExerciseID";_x000D_
}_x000D_
_x000D_
$stmt_handle = $db_connection-&gt;Prepare($prep_string);_x000D_
_x000D_
$cols = array();_x000D_
$cols["1"] = "UserID";_x000D_
$cols["2"] = "LocalExerciseID";_x000D_
$cols["3"] = "Title";_x000D_
$cols["4"] = "Type";_x000D_
$cols["5"] = "Minutes";_x000D_
$cols["6"] = "Inty";_x000D_
$cols["7"] = "Notes";_x000D_
$cols["8"] = "DateEx";_x000D_
$cols["9"] = "TimeEx";_x000D_
_x000D_
if ($operation == "Update")_x000D_
{_x000D_
	$cols["10"] = "WebExerciseID";_x000D_
}_x000D_
break;</t>
  </si>
  <si>
    <t>USE [Biometrix]_x000D_
GO_x000D_
if Object_ID('ExerciseDelete') is NOT NULL_x000D_
BEGIN_x000D_
DROP PROCEDURE ExerciseDelete_x000D_
END_x000D_
GO_x000D_
_x000D_
CREATE PROCEDURE ExerciseDelete @UserID VARCHAR(50), @WebExerciseID VARCHAR(50)_x000D_
AS_x000D_
_x000D_
DECLARE @UserID2 INT;_x000D_
SET @UserID2 = TRY_CONVERT(INT, @UserID);_x000D_
IF @UserID = ''_x000D_
BEGIN_x000D_
	SET @UserID2 = NULL;_x000D_
END_x000D_
_x000D_
DECLARE @WebExerciseID2 INT;_x000D_
SET @WebExerciseID2 = TRY_CONVERT(INT, @WebExerciseID);_x000D_
IF @WebExerciseID = ''_x000D_
BEGIN_x000D_
	SET @WebExerciseID2 = NULL;_x000D_
END_x000D_
_x000D_
Delete dbo.Exercise_x000D_
WHERE [WebExerciseID] = @WebExerciseID2 AND [UserID] = @UserID2_x000D_
Select @@RowCount as NumRows_x000D_
GO</t>
  </si>
  <si>
    <t>public static final String TABLE_NAME = "Sleep";_x000D_
public static final String LOCAL_SLEEP_ID = "LocalSleepID";//The local sleep ID is a unique identifier for each entry on the local database_x000D_
public static final String USER_NAME = "UserName";_x000D_
public static final String WEB_SLEEP_ID = "WebSleepID";//The web sleep ID is a unique identifier for each entry on the BIOMETRIX database_x000D_
public static final String DATE = "Date";_x000D_
public static final String TIME = "Time";_x000D_
public static final String DURATION = "Duration";_x000D_
public static final String QUALITY = "Quality";_x000D_
public static final String NOTES = "Notes";</t>
  </si>
  <si>
    <t>public static final String[] columns = {LOCAL_SLEEP_ID, USER_NAME, WEB_SLEEP_ID, DATE, _x000D_
TIME, DURATION, QUALITY, NOTES};</t>
  </si>
  <si>
    <t>USE [Biometrix]_x000D_
GO_x000D_
if Object_ID('SleepInsert') is NOT NULL_x000D_
BEGIN_x000D_
DROP PROCEDURE SleepInsert_x000D_
END_x000D_
GO_x000D_
_x000D_
CREATE PROCEDURE SleepInsert @UserID VARCHAR(50), @LocalSleepID VARCHAR(50), @Date DATE, _x000D_
@Time TIME, @Duration TIME, @Quality VARCHAR(50), @Notes VARCHAR(300)_x000D_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Insert Into dbo.Sleep_x000D_
([UserID], [LocalSleepID], [Date], [Time], [Duration], [Quality], [Notes])_x000D_
Values_x000D_
(@UserID2, @LocalSleepID2, @Date, @Time, @Duration, @Quality2, @Notes)_x000D_
_x000D_
Select [LocalSleepID], [WebSleepID] From dbo.Sleep_x000D_
Where [UserID] = @UserID2 AND [LocalSleepID] = @LocalSleepID2_x000D_
GO</t>
  </si>
  <si>
    <t>USE [Biometrix]_x000D_
GO_x000D_
if Object_ID('SleepDelete') is NOT NULL_x000D_
BEGIN_x000D_
DROP PROCEDURE SleepDelete_x000D_
END_x000D_
GO_x000D_
_x000D_
CREATE PROCEDURE SleepDelete @UserID VARCHAR(50), @WebSleepID VARCHAR(50)_x000D_
AS_x000D_
_x000D_
DECLARE @UserID2 INT;_x000D_
SET @UserID2 = TRY_CONVERT(INT, @UserID);_x000D_
IF @UserID = ''_x000D_
BEGIN_x000D_
	SET @UserID2 = NULL;_x000D_
END_x000D_
_x000D_
DECLARE @WebSleepID2 INT;_x000D_
SET @WebSleepID2 = TRY_CONVERT(INT, @WebSleepID);_x000D_
IF @WebSleepID = ''_x000D_
BEGIN_x000D_
	SET @WebSleepID2 = NULL;_x000D_
END_x000D_
_x000D_
Delete dbo.Sleep_x000D_
WHERE [WebSleepID] = @WebSleepID2 AND [UserID] = @UserID2_x000D_
Select @@RowCount as NumRows_x000D_
GO</t>
  </si>
  <si>
    <t>case "Sleep":_x000D_
$prep_string = "Exec Sleep$operation";_x000D_
$prep_string = $prep_string . " @UserID = :UserID";_x000D_
$prep_string = $prep_string . ", @LocalSleepID = :LocalSleepID";_x000D_
$prep_string = $prep_string . ", @Date = :Date";_x000D_
$prep_string = $prep_string . ", @Time = :Time";_x000D_
$prep_string = $prep_string . ", @Duration = :Duration";_x000D_
$prep_string = $prep_string . ", @Quality = :Quality";_x000D_
$prep_string = $prep_string . ", @Notes = :Notes";_x000D_
_x000D_
if ($operation == "Update")_x000D_
{_x000D_
	$prep_string = $prep_string . ", @WebSleepID = :WebSleepID";_x000D_
}_x000D_
_x000D_
$stmt_handle = $db_connection-&gt;Prepare($prep_string);_x000D_
_x000D_
$cols = array();_x000D_
$cols["1"] = "UserID";_x000D_
$cols["2"] = "LocalSleepID";_x000D_
$cols["3"] = "Date";_x000D_
$cols["4"] = "Time";_x000D_
$cols["5"] = "Duration";_x000D_
$cols["6"] = "Quality";_x000D_
$cols["7"] = "Notes";_x000D_
_x000D_
if ($operation == "Update")_x000D_
{_x000D_
	$cols["8"] = "WebSleepID";_x000D_
}_x000D_
break;</t>
  </si>
  <si>
    <t>case "Sleep":_x000D_
$prep_string = "Select ";_x000D_
$prep_string = $prep_string . "WebSleepID";_x000D_
$prep_string = $prep_string . ", UserID";_x000D_
$prep_string = $prep_string . ", LocalSleepID";_x000D_
$prep_string = $prep_string . ", Date";_x000D_
$prep_string = $prep_string . ", convert(varchar(5), Time, 114)";_x000D_
$prep_string = $prep_string . ", convert(varchar(5), Duration, 114)";_x000D_
$prep_string = $prep_string . ", Quality";_x000D_
$prep_string = $prep_string . ", Notes";_x000D_
$prep_string = $prep_string . " From Biometrix.dbo.Sleep";_x000D_
$prep_string = $prep_string . " LEFT JOIN #TempID ON ID = WebSleepID";_x000D_
$prep_string = $prep_string . " Where [UserId] = ? AND ID is null";_x000D_
_x000D_
$stmt_handle = $db_connection-&gt;Prepare($prep_string);_x000D_
_x000D_
$num_cols = 8;_x000D_
_x000D_
$cols = array();_x000D_
$cols[0] = "WebSleepID";_x000D_
$cols[1] = "UserID";_x000D_
$cols[2] = "LocalSleepID";_x000D_
$cols[3] = "Date";_x000D_
$cols[4] = "Time";_x000D_
$cols[5] = "Duration";_x000D_
$cols[6] = "Quality";_x000D_
$cols[7] = "Notes";_x000D_
break;</t>
  </si>
  <si>
    <t>time Null</t>
  </si>
  <si>
    <t>return "CREATE TABLE " + TABLE_NAME + " ( " +_x000D_
LOCAL_SLEEP_ID + " integer primary key autoincrement, " +_x000D_
USER_NAME + " varchar(50) Not Null, " +_x000D_
WEB_SLEEP_ID + " int Null, " +_x000D_
DATE + " date Not Null, " +_x000D_
TIME + " time Not Null, " +_x000D_
DURATION + " time Null, " +_x000D_
QUALITY + " int Null, " +_x000D_
NOTES + " varchar(300)" +");";</t>
  </si>
  <si>
    <t>USE [Biometrix]_x000D_
GO_x000D_
_x000D_
if Object_ID('[dbo].[Sleep]') is NOT NULL_x000D_
BEGIN_x000D_
DROP TABLE [dbo].[Sleep]_x000D_
END_x000D_
GO_x000D_
_x000D_
CREATE TABLE [dbo].[Sleep](_x000D_
	[WebSleepID] INT PRIMARY KEY Identity(1,1)_x000D_
	, [UserID] INT NOT NULL FOREIGN KEY REFERENCES [dbo].[LoginTable]_x000D_
	, [LocalSleepID] INT NOT NULL_x000D_
	, [Date] DATE NOT NULL_x000D_
	, [Time] TIME NOT NULL_x000D_
	, [Duration] TIME NULL_x000D_
	, [Quality] INT NULL_x000D_
	, [Notes] VARCHAR(300) NULL_x000D_
);_x000D_
GO</t>
  </si>
  <si>
    <t>varchar(40) Null</t>
  </si>
  <si>
    <t>return "CREATE TABLE " + TABLE_NAME + " ( " +_x000D_
LOCAL_DIET_ID + " integer primary key autoincrement, " +_x000D_
USER_NAME + " varchar(50) Not Null, " +_x000D_
WEB_DIET_ID + " int Null, " +_x000D_
DATE + " date Not Null, " +_x000D_
TYPE + " varchar(40) Null, " +_x000D_
MEAL + " varchar(20) Null, " +_x000D_
SERVING + " varchar(20) Null, " +_x000D_
CALORIES + " int Null, " +_x000D_
TOTALFAT + " int Null, " +_x000D_
SATFAT + " int Null, " +_x000D_
TRANSFAT + " int Null, " +_x000D_
CHOLESTEROL + " int Null, " +_x000D_
SODIUM + " int Null, " +_x000D_
TOTALCARBS + " int Null, " +_x000D_
FIBER + " int Null, " +_x000D_
SUGARS + " int Null, " +_x000D_
PROTEIN + " int Null, " +_x000D_
VITAMINA + " int Null, " +_x000D_
VITAMINB + " int Null, " +_x000D_
CALCIUM + " int Null, " +_x000D_
IRON + " int Null, " +_x000D_
NOTE + " varchar(255)" +");";</t>
  </si>
  <si>
    <t>USE [Biometrix]_x000D_
GO_x000D_
if Object_ID('DietDelete') is NOT NULL_x000D_
BEGIN_x000D_
DROP PROCEDURE DietDelete_x000D_
END_x000D_
GO_x000D_
_x000D_
CREATE PROCEDURE DietDelete @UserID VARCHAR(50), @WebDietID VARCHAR(50)_x000D_
AS_x000D_
_x000D_
DECLARE @UserID2 INT;_x000D_
SET @UserID2 = TRY_CONVERT(INT, @UserID);_x000D_
IF @UserID = ''_x000D_
BEGIN_x000D_
	SET @UserID2 = NULL;_x000D_
END_x000D_
_x000D_
DECLARE @WebDietID2 INT;_x000D_
SET @WebDietID2 = TRY_CONVERT(INT, @WebDietID);_x000D_
IF @WebDietID = ''_x000D_
BEGIN_x000D_
	SET @WebDietID2 = NULL;_x000D_
END_x000D_
_x000D_
Delete dbo.Diet_x000D_
WHERE [WebDietID] = @WebDietID2 AND [UserID] = @UserID2_x000D_
Select @@RowCount as NumRows_x000D_
GO</t>
  </si>
  <si>
    <t>varchar(255) Null</t>
  </si>
  <si>
    <t>varchar(140) Null</t>
  </si>
  <si>
    <t>tinyint Null</t>
  </si>
  <si>
    <t>return "CREATE TABLE " + TABLE_NAME + " ( " +_x000D_
LOCAL_EXERCISE_ID + " integer primary key autoincrement, " +_x000D_
USER_NAME + " varchar(50) Not Null, " +_x000D_
WEB_EXERCISE_ID + " int Null, " +_x000D_
TITLE + " varchar(255) Null, " +_x000D_
TYPE + " varchar(140) Null, " +_x000D_
MINUTES + " tinyint Null, " +_x000D_
INTY + " tinyint Null, " +_x000D_
NOTES + " varchar(255) Null, " +_x000D_
DATE + " date Not Null, " +_x000D_
TIME + " time Not Null" +");";</t>
  </si>
  <si>
    <t>USE [Biometrix]_x000D_
GO_x000D_
_x000D_
if Object_ID('[dbo].[Exercise]') is NOT NULL_x000D_
BEGIN_x000D_
DROP TABLE [dbo].[Exercise]_x000D_
END_x000D_
GO_x000D_
_x000D_
CREATE TABLE [dbo].[Exercise](_x000D_
	[WebExerciseID] INT PRIMARY KEY Identity(1,1)_x000D_
	, [UserID] INT NOT NULL FOREIGN KEY REFERENCES [dbo].[LoginTable]_x000D_
	, [LocalExerciseID] INT NOT NULL_x000D_
	, [Title] VARCHAR(255) NULL_x000D_
	, [Type] VARCHAR(140) NULL_x000D_
	, [Minutes] TINYINT NULL_x000D_
	, [Inty] TINYINT NULL_x000D_
	, [Notes] VARCHAR(255) NULL_x000D_
	, [DateEx] DATE NOT NULL_x000D_
	, [TimeEx] TIME NOT NULL_x000D_
);_x000D_
GO</t>
  </si>
  <si>
    <t>USE [Biometrix]_x000D_
GO_x000D_
if Object_ID('ExerciseInsert') is NOT NULL_x000D_
BEGIN_x000D_
DROP PROCEDURE ExerciseInsert_x000D_
END_x000D_
GO_x000D_
_x000D_
CREATE PROCEDURE ExerciseInsert @UserID VARCHAR(50), @LocalExerciseID VARCHAR(50), @Title VARCHAR(255), _x000D_
@Type VARCHAR(140), @Minutes VARCHAR(50), @Inty VARCHAR(50), @Notes VARCHAR(255), @DateEx DATE, @TimeEx TIME_x000D_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Insert Into dbo.Exercise_x000D_
([UserID], [LocalExerciseID], [Title], [Type], [Minutes], [Inty], [Notes], [DateEx], [TimeEx])_x000D_
Values_x000D_
(@UserID2, @LocalExerciseID2, @Title, @Type, @Minutes2, @Inty2, @Notes, @DateEx, @TimeEx)_x000D_
_x000D_
Select [LocalExerciseID], [WebExerciseID] From dbo.Exercise_x000D_
Where [UserID] = @UserID2 AND [LocalExerciseID] = @LocalExerciseID2_x000D_
GO</t>
  </si>
  <si>
    <t>case "Exercise":_x000D_
$prep_string = "Select ";_x000D_
$prep_string = $prep_string . "WebExerciseID";_x000D_
$prep_string = $prep_string . ", UserID";_x000D_
$prep_string = $prep_string . ", LocalExerciseID";_x000D_
$prep_string = $prep_string . ", Title";_x000D_
$prep_string = $prep_string . ", Type";_x000D_
$prep_string = $prep_string . ", Minutes";_x000D_
$prep_string = $prep_string . ", Inty";_x000D_
$prep_string = $prep_string . ", Notes";_x000D_
$prep_string = $prep_string . ", DateEx";_x000D_
$prep_string = $prep_string . ", convert(varchar(5), TimeEx, 114)";_x000D_
$prep_string = $prep_string . " From Biometrix.dbo.Exercise";_x000D_
$prep_string = $prep_string . " LEFT JOIN #TempID ON ID = WebExerciseID";_x000D_
$prep_string = $prep_string . " Where [UserId] = ? AND ID is null";_x000D_
_x000D_
$stmt_handle = $db_connection-&gt;Prepare($prep_string);_x000D_
_x000D_
$num_cols = 10;_x000D_
_x000D_
$cols = array();_x000D_
$cols[0] = "WebExerciseID";_x000D_
$cols[1] = "UserID";_x000D_
$cols[2] = "LocalExerciseID";_x000D_
$cols[3] = "Title";_x000D_
$cols[4] = "Type";_x000D_
$cols[5] = "Minutes";_x000D_
$cols[6] = "Inty";_x000D_
$cols[7] = "Notes";_x000D_
$cols[8] = "DateEx";_x000D_
$cols[9] = "TimeEx";_x000D_
break;</t>
  </si>
  <si>
    <t>return "CREATE TABLE " + TABLE_NAME + " ( " +_x000D_
LOCAL_MEDICATION_ID + " integer primary key autoincrement, " +_x000D_
USER_NAME + " varchar(50) Not Null, " +_x000D_
WEB_MEDICATION_ID + " int Null, " +_x000D_
DATE + " date Not Null, " +_x000D_
TIME + " time Not Null, " +_x000D_
BRAND_NAME + " varchar(255) null, " +_x000D_
PRESCRIBER + " varchar(255) null, " +_x000D_
DOSE + " varchar(255) null, " +_x000D_
INSTRUCTIONS + " varchar(255) null, " +_x000D_
WARNINGS + " varchar(255) null, " +_x000D_
NOTES + " varchar(255) null" +");";</t>
  </si>
  <si>
    <t>USE [Biometrix]_x000D_
GO_x000D_
if Object_ID('MedicationDelete') is NOT NULL_x000D_
BEGIN_x000D_
DROP PROCEDURE MedicationDelete_x000D_
END_x000D_
GO_x000D_
_x000D_
CREATE PROCEDURE MedicationDelete @UserID VARCHAR(50), @WebMedicationID VARCHAR(50)_x000D_
AS_x000D_
_x000D_
DECLARE @UserID2 INT;_x000D_
SET @UserID2 = TRY_CONVERT(INT, @UserID);_x000D_
IF @UserID = ''_x000D_
BEGIN_x000D_
	SET @UserID2 = NULL;_x000D_
END_x000D_
_x000D_
DECLARE @WebMedicationID2 INT;_x000D_
SET @WebMedicationID2 = TRY_CONVERT(INT, @WebMedicationID);_x000D_
IF @WebMedicationID = ''_x000D_
BEGIN_x000D_
	SET @WebMedicationID2 = NULL;_x000D_
END_x000D_
_x000D_
Delete dbo.Medication_x000D_
WHERE [WebMedicationID] = @WebMedicationID2 AND [UserID] = @UserID2_x000D_
Select @@RowCount as NumRows_x000D_
GO</t>
  </si>
  <si>
    <t>Sad</t>
  </si>
  <si>
    <t>Happy</t>
  </si>
  <si>
    <t>Anger</t>
  </si>
  <si>
    <t>SAD</t>
  </si>
  <si>
    <t>HAPPY</t>
  </si>
  <si>
    <t>ANGER</t>
  </si>
  <si>
    <t>return "CREATE TABLE " + TABLE_NAME + " ( " +_x000D_
LOCAL_MOOD_ID + " integer primary key autoincrement, " +_x000D_
USER_NAME + " varchar(50) Not Null, " +_x000D_
WEB_MOOD_ID + " int Null, " +_x000D_
DATE + " date Not Null, " +_x000D_
TIME + " time Not Null, " +_x000D_
DEP + " int Null, " +_x000D_
ELEV + " int Null, " +_x000D_
IRR + " int Null, " +_x000D_
ANX + " int Null, " +_x000D_
SAD + " int Null, " +_x000D_
HAPPY + " int Null, " +_x000D_
ANGER + " int Null, " +_x000D_
NOTE + " varchar(255)" +");";</t>
  </si>
  <si>
    <t>public static final String TABLE_NAME = "Mood";_x000D_
public static final String LOCAL_MOOD_ID = "LocalMoodID";_x000D_
public static final String USER_NAME = "UserName";_x000D_
public static final String WEB_MOOD_ID = "WebMoodID";_x000D_
public static final String DATE = "Date";_x000D_
public static final String TIME = "Time";_x000D_
public static final String DEP = "Depression";_x000D_
public static final String ELEV = "Elevated";_x000D_
public static final String IRR = "Irritable";_x000D_
public static final String ANX = "Anxiety";_x000D_
public static final String SAD = "Sad";_x000D_
public static final String HAPPY = "Happy";_x000D_
public static final String ANGER = "Anger";_x000D_
public static final String NOTE = "Notes";</t>
  </si>
  <si>
    <t>public static final String[] cols = {LOCAL_MOOD_ID, USER_NAME, WEB_MOOD_ID, DATE, _x000D_
TIME, DEP, ELEV, IRR, ANX, SAD, HAPPY, ANGER, NOTE};</t>
  </si>
  <si>
    <t>public static final String[] intcols = {DEP, ELEV, IRR, ANX, SAD, HAPPY, ANGER};</t>
  </si>
  <si>
    <t>USE [Biometrix]_x000D_
GO_x000D_
_x000D_
if Object_ID('[dbo].[Mood]') is NOT NULL_x000D_
BEGIN_x000D_
DROP TABLE [dbo].[Mood]_x000D_
END_x000D_
GO_x000D_
_x000D_
CREATE TABLE [dbo].[Mood](_x000D_
	[WebMoodID] INT PRIMARY KEY Identity(1,1)_x000D_
	, [UserID] INT NOT NULL FOREIGN KEY REFERENCES [dbo].[LoginTable]_x000D_
	, [LocalMoodID] INT NOT NULL_x000D_
	, [Date] DATE NOT NULL_x000D_
	, [Time] TIME NOT NULL_x000D_
	, [Depression] INT NULL_x000D_
	, [Elevated] INT NULL_x000D_
	, [Irritable] INT NULL_x000D_
	, [Anxiety] INT NULL_x000D_
	, [Sad] INT NULL_x000D_
	, [Happy] INT NULL_x000D_
	, [Anger] INT NULL_x000D_
	, [Notes] VARCHAR(255) NULL_x000D_
);_x000D_
GO</t>
  </si>
  <si>
    <t>USE [Biometrix]_x000D_
GO_x000D_
if Object_ID('MoodInsert') is NOT NULL_x000D_
BEGIN_x000D_
DROP PROCEDURE MoodInsert_x000D_
END_x000D_
GO_x000D_
_x000D_
CREATE PROCEDURE MoodInsert @UserID VARCHAR(50), @LocalMoodID VARCHAR(50), @Date DATE, _x000D_
@Time TIME, @Depression VARCHAR(50), @Elevated VARCHAR(50), @Irritable VARCHAR(50), @Anxiety VARCHAR(50), _x000D_
@Sad VARCHAR(50), @Happy VARCHAR(50), @Anger VARCHAR(50), @Notes VARCHAR(255)_x000D_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@Sad2 INT;_x000D_
SET @Sad2 = TRY_CONVERT(INT, @Sad);_x000D_
IF @Sad = ''_x000D_
BEGIN_x000D_
	SET @Sad2 = NULL;_x000D_
END_x000D_
_x000D_
DECLARE @Happy2 INT;_x000D_
SET @Happy2 = TRY_CONVERT(INT, @Happy);_x000D_
IF @Happy = ''_x000D_
BEGIN_x000D_
	SET @Happy2 = NULL;_x000D_
END_x000D_
_x000D_
DECLARE @Anger2 INT;_x000D_
SET @Anger2 = TRY_CONVERT(INT, @Anger);_x000D_
IF @Anger = ''_x000D_
BEGIN_x000D_
	SET @Anger2 = NULL;_x000D_
END_x000D_
_x000D_
Insert Into dbo.Mood_x000D_
([UserID], [LocalMoodID], [Date], [Time], [Depression], [Elevated], [Irritable], [Anxiety], [Sad], [Happy], _x000D_
[Anger], [Notes])_x000D_
Values_x000D_
(@UserID2, @LocalMoodID2, @Date, @Time, @Depression2, @Elevated2, @Irritable2, @Anxiety2, @Sad2, @Happy2, _x000D_
@Anger2, @Notes)_x000D_
_x000D_
Select [LocalMoodID], [WebMoodID] From dbo.Mood_x000D_
Where [UserID] = @UserID2 AND [LocalMoodID] = @LocalMoodID2_x000D_
GO</t>
  </si>
  <si>
    <t>USE [Biometrix]_x000D_
GO_x000D_
if Object_ID('MoodDelete') is NOT NULL_x000D_
BEGIN_x000D_
DROP PROCEDURE MoodDelete_x000D_
END_x000D_
GO_x000D_
_x000D_
CREATE PROCEDURE MoodDelete @UserID VARCHAR(50), @WebMoodID VARCHAR(50)_x000D_
AS_x000D_
_x000D_
DECLARE @UserID2 INT;_x000D_
SET @UserID2 = TRY_CONVERT(INT, @UserID);_x000D_
IF @UserID = ''_x000D_
BEGIN_x000D_
	SET @UserID2 = NULL;_x000D_
END_x000D_
_x000D_
DECLARE @WebMoodID2 INT;_x000D_
SET @WebMoodID2 = TRY_CONVERT(INT, @WebMoodID);_x000D_
IF @WebMoodID = ''_x000D_
BEGIN_x000D_
	SET @WebMoodID2 = NULL;_x000D_
END_x000D_
_x000D_
Delete dbo.Mood_x000D_
WHERE [WebMoodID] = @WebMoodID2 AND [UserID] = @UserID2_x000D_
Select @@RowCount as NumRows_x000D_
GO</t>
  </si>
  <si>
    <t>case "Mood":_x000D_
$prep_string = "Exec Mood$operation";_x000D_
$prep_string = $prep_string . " @UserID = :UserID";_x000D_
$prep_string = $prep_string . ", @LocalMoodID = :LocalMoodID";_x000D_
$prep_string = $prep_string . ", @Date = :Date";_x000D_
$prep_string = $prep_string . ", @Time = :Time";_x000D_
$prep_string = $prep_string . ", @Depression = :Depression";_x000D_
$prep_string = $prep_string . ", @Elevated = :Elevated";_x000D_
$prep_string = $prep_string . ", @Irritable = :Irritable";_x000D_
$prep_string = $prep_string . ", @Anxiety = :Anxiety";_x000D_
$prep_string = $prep_string . ", @Sad = :Sad";_x000D_
$prep_string = $prep_string . ", @Happy = :Happy";_x000D_
$prep_string = $prep_string . ", @Anger = :Anger";_x000D_
$prep_string = $prep_string . ", @Notes = :Notes";_x000D_
_x000D_
if ($operation == "Update")_x000D_
{_x000D_
	$prep_string = $prep_string . ", @WebMoodID = :WebMoodID";_x000D_
}_x000D_
_x000D_
$stmt_handle = $db_connection-&gt;Prepare($prep_string);_x000D_
_x000D_
$cols = array();_x000D_
$cols["1"] = "UserID";_x000D_
$cols["2"] = "LocalMoodID";_x000D_
$cols["3"] = "Date";_x000D_
$cols["4"] = "Time";_x000D_
$cols["5"] = "Depression";_x000D_
$cols["6"] = "Elevated";_x000D_
$cols["7"] = "Irritable";_x000D_
$cols["8"] = "Anxiety";_x000D_
$cols["9"] = "Sad";_x000D_
$cols["10"] = "Happy";_x000D_
$cols["11"] = "Anger";_x000D_
$cols["12"] = "Notes";_x000D_
_x000D_
if ($operation == "Update")_x000D_
{_x000D_
	$cols["13"] = "WebMoodID";_x000D_
}_x000D_
break;</t>
  </si>
  <si>
    <t>case "Mood":_x000D_
$prep_string = "Select ";_x000D_
$prep_string = $prep_string . "WebMoodID";_x000D_
$prep_string = $prep_string . ", UserID";_x000D_
$prep_string = $prep_string . ", LocalMoodID";_x000D_
$prep_string = $prep_string . ", Date";_x000D_
$prep_string = $prep_string . ", convert(varchar(5), Time, 114)";_x000D_
$prep_string = $prep_string . ", Depression";_x000D_
$prep_string = $prep_string . ", Elevated";_x000D_
$prep_string = $prep_string . ", Irritable";_x000D_
$prep_string = $prep_string . ", Anxiety";_x000D_
$prep_string = $prep_string . ", Sad";_x000D_
$prep_string = $prep_string . ", Happy";_x000D_
$prep_string = $prep_string . ", Anger";_x000D_
$prep_string = $prep_string . ", Notes";_x000D_
$prep_string = $prep_string . " From Biometrix.dbo.Mood";_x000D_
$prep_string = $prep_string . " LEFT JOIN #TempID ON ID = WebMoodID";_x000D_
$prep_string = $prep_string . " Where [UserId] = ? AND ID is null";_x000D_
_x000D_
$stmt_handle = $db_connection-&gt;Prepare($prep_string);_x000D_
_x000D_
$num_cols = 13;_x000D_
_x000D_
$cols = array();_x000D_
$cols[0] = "WebMoodID";_x000D_
$cols[1] = "UserID";_x000D_
$cols[2] = "LocalMoodID";_x000D_
$cols[3] = "Date";_x000D_
$cols[4] = "Time";_x000D_
$cols[5] = "Depression";_x000D_
$cols[6] = "Elevated";_x000D_
$cols[7] = "Irritable";_x000D_
$cols[8] = "Anxiety";_x000D_
$cols[9] = "Sad";_x000D_
$cols[10] = "Happy";_x000D_
$cols[11] = "Anger";_x000D_
$cols[12] = "Notes";_x000D_
break;</t>
  </si>
  <si>
    <t>USE [Biometrix]_x000D_
GO_x000D_
if Object_ID('DietUpdate') is NOT NULL_x000D_
BEGIN_x000D_
DROP PROCEDURE DietUpdate_x000D_
END_x000D_
GO_x000D_
_x000D_
CREATE PROCEDURE DietUpdate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VARCHAR(255), _x000D_
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DECLARE @WebDietID2 INT;_x000D_
SET @WebDietID2 = TRY_CONVERT(INT, @WebDietID);_x000D_
IF @WebDietID = ''_x000D_
BEGIN_x000D_
	SET @WebDietID2 = NULL;_x000D_
END_x000D_
_x000D_
Update dbo.Diet_x000D_
SET [LocalDietID] = @LocalDietID2, [Date] = @Date, [FoodType] = @FoodType, [Meal] = @Meal, [ServingSize] = @ServingSize, _x000D_
[Calories] = @Calories2, [TotalFat] = @TotalFat2, [SaturatedFat] = @SaturatedFat2, [TransFat] = @TransFat2, _x000D_
[Cholesterol] = @Cholesterol2, [Sodium] = @Sodium2, [TotalCarbs] = @TotalCarbs2, [DietaryFiber] = @DietaryFiber2, _x000D_
[Sugars] = @Sugars2, [Protein] = @Protein2, [VitaminA] = @VitaminA2, [VitaminB] = @VitaminB2, [Calcium] = @Calcium2, _x000D_
[Iron] = @Iron2, [Notes] = @Notes_x000D_
Where [WebDietID] = @WebDietID2 AND [UserID] = @UserID2_x000D_
Select @@RowCount as NumRows, @WebDietID2 as WebID_x000D_
GO</t>
  </si>
  <si>
    <t>USE [Biometrix]_x000D_
GO_x000D_
if Object_ID('ExerciseUpdate') is NOT NULL_x000D_
BEGIN_x000D_
DROP PROCEDURE ExerciseUpdate_x000D_
END_x000D_
GO_x000D_
_x000D_
CREATE PROCEDURE ExerciseUpdate @UserID VARCHAR(50), @LocalExerciseID VARCHAR(50), @Title VARCHAR(255), _x000D_
@Type VARCHAR(140), @Minutes VARCHAR(50), @Inty VARCHAR(50), @Notes VARCHAR(255), @DateEx DATE, @TimeEx TIME, _x000D_
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DECLARE @WebExerciseID2 INT;_x000D_
SET @WebExerciseID2 = TRY_CONVERT(INT, @WebExerciseID);_x000D_
IF @WebExerciseID = ''_x000D_
BEGIN_x000D_
	SET @WebExerciseID2 = NULL;_x000D_
END_x000D_
_x000D_
Update dbo.Exercise_x000D_
SET [LocalExerciseID] = @LocalExerciseID2, [Title] = @Title, [Type] = @Type, [Minutes] = @Minutes2, [Inty] = @Inty2, _x000D_
[Notes] = @Notes, [DateEx] = @DateEx, [TimeEx] = @TimeEx_x000D_
Where [WebExerciseID] = @WebExerciseID2 AND [UserID] = @UserID2_x000D_
Select @@RowCount as NumRows, @WebExerciseID2 as WebID_x000D_
GO</t>
  </si>
  <si>
    <t>USE [Biometrix]_x000D_
GO_x000D_
if Object_ID('MoodUpdate') is NOT NULL_x000D_
BEGIN_x000D_
DROP PROCEDURE MoodUpdate_x000D_
END_x000D_
GO_x000D_
_x000D_
CREATE PROCEDURE MoodUpdate @UserID VARCHAR(50), @LocalMoodID VARCHAR(50), @Date DATE, _x000D_
@Time TIME, @Depression VARCHAR(50), @Elevated VARCHAR(50), @Irritable VARCHAR(50), @Anxiety VARCHAR(50), _x000D_
@Sad VARCHAR(50), @Happy VARCHAR(50), @Anger VARCHAR(50), @Notes VARCHAR(255),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@Sad2 INT;_x000D_
SET @Sad2 = TRY_CONVERT(INT, @Sad);_x000D_
IF @Sad = ''_x000D_
BEGIN_x000D_
	SET @Sad2 = NULL;_x000D_
END_x000D_
_x000D_
DECLARE @Happy2 INT;_x000D_
SET @Happy2 = TRY_CONVERT(INT, @Happy);_x000D_
IF @Happy = ''_x000D_
BEGIN_x000D_
	SET @Happy2 = NULL;_x000D_
END_x000D_
_x000D_
DECLARE @Anger2 INT;_x000D_
SET @Anger2 = TRY_CONVERT(INT, @Anger);_x000D_
IF @Anger = ''_x000D_
BEGIN_x000D_
	SET @Anger2 = NULL;_x000D_
END_x000D_
_x000D_
DECLARE @WebMoodID2 INT;_x000D_
SET @WebMoodID2 = TRY_CONVERT(INT, @WebMoodID);_x000D_
IF @WebMoodID = ''_x000D_
BEGIN_x000D_
	SET @WebMoodID2 = NULL;_x000D_
END_x000D_
_x000D_
Update dbo.Mood_x000D_
SET [LocalMoodID] = @LocalMoodID2, [Date] = @Date, [Time] = @Time, [Depression] = @Depression2, [Elevated] = @Elevated2, _x000D_
[Irritable] = @Irritable2, [Anxiety] = @Anxiety2, [Sad] = @Sad2, [Happy] = @Happy2, [Anger] = @Anger2, _x000D_
[Notes] = @Notes_x000D_
Where [WebMoodID] = @WebMoodID2 AND [UserID] = @UserID2_x000D_
Select @@RowCount as NumRows, @WebMoodID2 as WebID_x000D_
GO</t>
  </si>
  <si>
    <t>USE [Biometrix]_x000D_
GO_x000D_
if Object_ID('MedicationUpdate') is NOT NULL_x000D_
BEGIN_x000D_
DROP PROCEDURE MedicationUpdate_x000D_
END_x000D_
GO_x000D_
_x000D_
CREATE PROCEDURE MedicationUpdate @UserID VARCHAR(50), @LocalMedicationID VARCHAR(50), _x000D_
@Date DATE, @Time TIME, @BrandName VARCHAR(255), @Prescriber VARCHAR(255), @Dose VARCHAR(255), @Instructions VARCHAR(255), _x000D_
@Warnings VARCHAR(255), @Notes VARCHAR(255), @WebMedicationID VARCHAR(50)_x000D_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DECLARE @WebMedicationID2 INT;_x000D_
SET @WebMedicationID2 = TRY_CONVERT(INT, @WebMedicationID);_x000D_
IF @WebMedicationID = ''_x000D_
BEGIN_x000D_
	SET @WebMedicationID2 = NULL;_x000D_
END_x000D_
_x000D_
Update dbo.Medication_x000D_
SET [LocalMedicationID] = @LocalMedicationID2, [Date] = @Date, [Time] = @Time, [BrandName] = @BrandName, _x000D_
[Prescriber] = @Prescriber, [Dose] = @Dose, [Instructions] = @Instructions, [Warnings] = @Warnings, [Notes] = @Notes_x000D_
Where [WebMedicationID] = @WebMedicationID2 AND [UserID] = @UserID2_x000D_
Select @@RowCount as NumRows, @WebMedicationID2 as WebID_x000D_
GO</t>
  </si>
  <si>
    <t>USE [Biometrix]_x000D_
GO_x000D_
if Object_ID('SleepUpdate') is NOT NULL_x000D_
BEGIN_x000D_
DROP PROCEDURE SleepUpdate_x000D_
END_x000D_
GO_x000D_
_x000D_
CREATE PROCEDURE SleepUpdate @UserID VARCHAR(50), @LocalSleepID VARCHAR(50), @Date DATE, _x000D_
@Time TIME, @Duration TIME, @Quality VARCHAR(50), @Notes VARCHAR(300),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DECLARE @WebSleepID2 INT;_x000D_
SET @WebSleepID2 = TRY_CONVERT(INT, @WebSleepID);_x000D_
IF @WebSleepID = ''_x000D_
BEGIN_x000D_
	SET @WebSleepID2 = NULL;_x000D_
END_x000D_
_x000D_
Update dbo.Sleep_x000D_
SET [LocalSleepID] = @LocalSleepID2, [Date] = @Date, [Time] = @Time, [Duration] = @Duration, [Quality] = @Quality2, _x000D_
[Notes] = @Notes_x000D_
Where [WebSleepID] = @WebSleepID2 AND [UserID] = @UserID2_x000D_
Select @@RowCount as NumRows, @WebSleepID2 as WebID_x000D_
GO</t>
  </si>
  <si>
    <t>Breakfast</t>
  </si>
  <si>
    <t>Grams</t>
  </si>
  <si>
    <t>Lunch</t>
  </si>
  <si>
    <t>Ounces</t>
  </si>
  <si>
    <t>Snack</t>
  </si>
  <si>
    <t>Tablespoons</t>
  </si>
  <si>
    <t>Dinner</t>
  </si>
  <si>
    <t>Cups</t>
  </si>
  <si>
    <t>Use Biometrix; Insert into Diet Values (</t>
  </si>
  <si>
    <t>Use Biometrix; Insert into Diet Values ('15', '4', '5/2/2016', '', 'Breakfast', 'Grams', '125', '264', '294', '289', '176', '133', '41', '39', '278', '272', '94', '114', '163', '155', '') ,_x000D_
('15', '5', '5/1/2016', '', 'Lunch', 'Ounces', '193', '150', '229', '11', '283', '42', '174', '294', '208', '182', '224', '107', '50', '99', '') ,_x000D_
('15', '6', '4/30/2016', '', 'Snack', 'Tablespoons', '124', '134', '181', '41', '296', '67', '37', '159', '194', '105', '240', '45', '166', '151', '') ,_x000D_
('15', '7', '4/29/2016', '', 'Dinner', 'Cups', '171', '259', '121', '141', '20', '45', '299', '185', '228', '262', '257', '291', '10', '36', '') ,_x000D_
('15', '8', '4/28/2016', '', 'Dinner', 'Tablespoons', '275', '12', '45', '133', '64', '103', '272', '229', '178', '44', '51', '76', '296', '171', '') ,_x000D_
('15', '9', '4/27/2016', '', 'Lunch', 'Tablespoons', '184', '236', '183', '207', '11', '158', '251', '284', '175', '50', '173', '150', '106', '151', '') ,_x000D_
('15', '10', '4/26/2016', '', 'Dinner', 'Tablespoons', '128', '181', '217', '142', '108', '294', '66', '249', '288', '284', '211', '126', '7', '283', '') ,_x000D_
('15', '11', '4/25/2016', '', 'Dinner', 'Cups', '258', '126', '19', '90', '106', '119', '73', '59', '5', '226', '199', '50', '294', '23', '') ,_x000D_
('15', '12', '4/24/2016', '', 'Dinner', 'Grams', '1', '61', '156', '76', '0', '78', '71', '122', '30', '258', '161', '108', '284', '297', '') ,_x000D_
('15', '13', '4/23/2016', '', 'Dinner', 'Cups', '173', '112', '153', '107', '166', '135', '298', '239', '207', '103', '81', '210', '3', '121', '') ,_x000D_
('15', '14', '4/22/2016', '', 'Snack', 'Tablespoons', '96', '187', '160', '159', '117', '64', '185', '260', '190', '225', '46', '289', '31', '4', '') ,_x000D_
('15', '15', '4/21/2016', '', 'Breakfast', 'Tablespoons', '113', '29', '290', '138', '251', '218', '196', '63', '208', '200', '240', '39', '215', '115', '') ,_x000D_
('15', '16', '4/20/2016', '', 'Dinner', 'Ounces', '20', '111', '195', '230', '124', '212', '2', '157', '233', '134', '27', '103', '64', '297', '') ,_x000D_
('15', '17', '4/19/2016', '', 'Lunch', 'Ounces', '288', '220', '126', '33', '167', '189', '296', '80', '135', '184', '200', '100', '297', '30', '') ,_x000D_
('15', '18', '4/18/2016', '', 'Lunch', 'Tablespoons', '220', '60', '122', '81', '90', '87', '260', '1', '215', '215', '168', '154', '180', '129', '') ,_x000D_
('15', '19', '4/17/2016', '', 'Snack', 'Cups', '87', '164', '251', '170', '227', '228', '7', '3', '31', '139', '196', '21', '250', '243', '') ,_x000D_
('15', '20', '4/16/2016', '', 'Lunch', 'Cups', '35', '209', '140', '256', '38', '262', '78', '123', '184', '111', '216', '169', '218', '62', '') ,_x000D_
('15', '21', '4/15/2016', '', 'Dinner', 'Tablespoons', '188', '95', '227', '244', '38', '82', '44', '60', '113', '229', '49', '4', '190', '54', '') ,_x000D_
('15', '22', '4/14/2016', '', 'Snack', 'Ounces', '83', '183', '104', '225', '220', '169', '136', '289', '46', '8', '116', '198', '108', '77', '') ,_x000D_
('15', '23', '4/13/2016', '', 'Breakfast', 'Ounces', '206', '214', '71', '284', '224', '143', '287', '243', '205', '42', '101', '101', '49', '255', '') ,_x000D_
('15', '24', '4/12/2016', '', 'Snack', 'Cups', '210', '199', '164', '189', '284', '35', '84', '197', '4', '251', '168', '5', '0', '245', '') ,_x000D_
('15', '25', '4/11/2016', '', 'Lunch', 'Grams', '270', '18', '200', '206', '198', '81', '278', '23', '113', '103', '286', '203', '133', '64', '') ,_x000D_
('15', '26', '4/10/2016', '', 'Lunch', 'Cups', '9', '198', '49', '285', '176', '206', '186', '44', '153', '84', '110', '50', '42', '163', '') ,_x000D_
('15', '27', '4/9/2016', '', 'Lunch', 'Tablespoons', '294', '277', '51', '227', '66', '51', '225', '283', '21', '71', '20', '200', '145', '295', '') ,_x000D_
('15', '28', '4/8/2016', '', 'Dinner', 'Cups', '76', '279', '260', '85', '131', '66', '162', '179', '63', '56', '131', '82', '37', '173', '') ,_x000D_
('15', '29', '4/7/2016', '', 'Lunch', 'Ounces', '230', '81', '149', '158', '70', '42', '120', '65', '199', '97', '8', '85', '285', '127', '') ,_x000D_
('15', '30', '4/6/2016', '', 'Lunch', 'Tablespoons', '189', '245', '120', '76', '152', '252', '274', '222', '255', '288', '36', '243', '132', '107', '') ,_x000D_
('15', '31', '4/5/2016', '', 'Snack', 'Tablespoons', '136', '234', '149', '101', '291', '60', '283', '163', '32', '220', '98', '13', '62', '185', '') ,_x000D_
('15', '32', '4/4/2016', '', 'Snack', 'Grams', '159', '256', '146', '162', '292', '283', '81', '45', '5', '89', '40', '167', '130', '96', '') ,_x000D_
('15', '33', '4/3/2016', '', 'Snack', 'Ounces', '137', '255', '148', '261', '1', '213', '49', '277', '129', '3', '118', '286', '3', '269', '') ,_x000D_
('15', '34', '4/2/2016', '', 'Dinner', 'Grams', '33', '102', '209', '285', '236', '177', '71', '125', '287', '37', '274', '200', '69', '182', '') ,_x000D_
('15', '35', '4/1/2016', '', 'Breakfast', 'Ounces', '173', '110', '113', '107', '167', '162', '24', '167', '106', '270', '259', '52', '160', '255', '') ,_x000D_
('15', '36', '3/31/2016', '', 'Dinner', 'Cups', '130', '181', '271', '202', '292', '21', '197', '20', '16', '104', '24', '162', '275', '36', '') ,_x000D_
('15', '37', '3/30/2016', '', 'Breakfast', 'Ounces', '158', '204', '98', '98', '154', '194', '41', '179', '60', '152', '91', '104', '35', '3', '') ,_x000D_
('15', '38', '3/29/2016', '', 'Breakfast', 'Ounces', '170', '148', '130', '273', '136', '232', '167', '77', '202', '295', '276', '253', '256', '222', '') ,_x000D_
('15', '39', '3/28/2016', '', 'Snack', 'Grams', '218', '67', '164', '30', '101', '113', '137', '175', '234', '125', '199', '259', '241', '75', '') ,_x000D_
('15', '40', '3/27/2016', '', 'Dinner', 'Cups', '286', '110', '206', '189', '197', '95', '255', '220', '140', '236', '269', '272', '195', '26', '') ,_x000D_
('15', '41', '3/26/2016', '', 'Dinner', 'Grams', '253', '293', '75', '188', '126', '152', '18', '274', '164', '190', '281', '64', '65', '172', '') ;</t>
  </si>
  <si>
    <t>Balance</t>
  </si>
  <si>
    <t>Strength</t>
  </si>
  <si>
    <t>Endurance</t>
  </si>
  <si>
    <t>Flexibility</t>
  </si>
  <si>
    <t>Use Biometrix; Insert into Exercise Values (</t>
  </si>
  <si>
    <t>11:22:00.0000000</t>
  </si>
  <si>
    <t>11:23:00.0000000</t>
  </si>
  <si>
    <t>11:24:00.0000000</t>
  </si>
  <si>
    <t>11:28:00.0000000</t>
  </si>
  <si>
    <t>11:22:00.0000001</t>
  </si>
  <si>
    <t>11:24:00.0000001</t>
  </si>
  <si>
    <t>11:28:00.0000001</t>
  </si>
  <si>
    <t>11:22:00.0000002</t>
  </si>
  <si>
    <t>11:24:00.0000002</t>
  </si>
  <si>
    <t>11:28:00.0000002</t>
  </si>
  <si>
    <t>11:22:00.0000003</t>
  </si>
  <si>
    <t>11:24:00.0000003</t>
  </si>
  <si>
    <t>11:28:00.0000003</t>
  </si>
  <si>
    <t>11:22:00.0000004</t>
  </si>
  <si>
    <t>11:24:00.0000004</t>
  </si>
  <si>
    <t>11:28:00.0000004</t>
  </si>
  <si>
    <t>11:22:00.0000005</t>
  </si>
  <si>
    <t>11:24:00.0000005</t>
  </si>
  <si>
    <t>11:28:00.0000005</t>
  </si>
  <si>
    <t>11:22:00.0000006</t>
  </si>
  <si>
    <t>11:24:00.0000006</t>
  </si>
  <si>
    <t>11:28:00.0000006</t>
  </si>
  <si>
    <t>11:22:00.0000007</t>
  </si>
  <si>
    <t>11:24:00.0000007</t>
  </si>
  <si>
    <t>11:28:00.0000007</t>
  </si>
  <si>
    <t>Use Biometrix; Insert into Exercise Values ('15', '7', '', 'Balance', '30', '6', '', '5/12/2016', '11:22:00.0000000') ,_x000D_
('15', '8', '', 'Strength', '30', '7', '', '5/11/2016', '11:23:00.0000000') ,_x000D_
('15', '9', '', 'Endurance', '50', '4', '', '5/10/2016', '11:23:00.0000000') ,_x000D_
('15', '10', '', 'Flexibility', '30', '0', '', '5/1/2016', '11:23:00.0000000') ,_x000D_
('15', '11', '', 'Endurance', '9', '6', '', '4/30/2016', '11:24:00.0000000') ,_x000D_
('15', '12', '', 'Flexibility', '30', '0', '', '4/29/2016', '11:28:00.0000000') ,_x000D_
('15', '13', '', 'Balance', '15', '6', '', '4/28/2016', '11:22:00.0000001') ,_x000D_
('15', '14', '', 'Flexibility', '30', '0', '', '4/27/2016', '11:23:00.0000000') ,_x000D_
('15', '15', '', 'Balance', '4', '8', '', '4/26/2016', '11:23:00.0000000') ,_x000D_
('15', '16', '', 'Flexibility', '30', '0', '', '4/25/2016', '11:23:00.0000000') ,_x000D_
('15', '17', '', 'Endurance', '27', '5', '', '4/24/2016', '11:24:00.0000001') ,_x000D_
('15', '18', '', 'Flexibility', '30', '0', '', '4/23/2016', '11:28:00.0000001') ,_x000D_
('15', '19', '', 'Flexibility', '10', '4', '', '4/22/2016', '11:22:00.0000002') ,_x000D_
('15', '20', '', 'Flexibility', '30', '0', '', '4/21/2016', '11:23:00.0000000') ,_x000D_
('15', '21', '', 'Flexibility', '34', '2', '', '4/20/2016', '11:23:00.0000000') ,_x000D_
('15', '22', '', 'Flexibility', '30', '0', '', '4/19/2016', '11:23:00.0000000') ,_x000D_
('15', '23', '', 'Endurance', '47', '8', '', '4/18/2016', '11:24:00.0000002') ,_x000D_
('15', '24', '', 'Flexibility', '30', '0', '', '4/17/2016', '11:28:00.0000002') ,_x000D_
('15', '25', '', 'Flexibility', '4', '1', '', '4/16/2016', '11:22:00.0000003') ,_x000D_
('15', '26', '', 'Flexibility', '30', '0', '', '4/15/2016', '11:23:00.0000000') ,_x000D_
('15', '27', '', 'Flexibility', '4', '3', '', '4/14/2016', '11:23:00.0000000') ,_x000D_
('15', '28', '', 'Flexibility', '30', '0', '', '4/13/2016', '11:23:00.0000000') ,_x000D_
('15', '29', '', 'Endurance', '3', '10', '', '4/12/2016', '11:24:00.0000003') ,_x000D_
('15', '30', '', 'Flexibility', '30', '0', '', '4/11/2016', '11:28:00.0000003') ,_x000D_
('15', '31', '', 'Balance', '19', '0', '', '4/10/2016', '11:22:00.0000004') ,_x000D_
('15', '32', '', 'Flexibility', '30', '0', '', '4/9/2016', '11:23:00.0000000') ,_x000D_
('15', '33', '', 'Flexibility', '48', '0', '', '4/8/2016', '11:23:00.0000000') ,_x000D_
('15', '34', '', 'Flexibility', '30', '0', '', '4/7/2016', '11:23:00.0000000') ,_x000D_
('15', '35', '', 'Balance', '22', '2', '', '4/6/2016', '11:24:00.0000004') ,_x000D_
('15', '36', '', 'Flexibility', '30', '0', '', '4/5/2016', '11:28:00.0000004') ,_x000D_
('15', '37', '', 'Flexibility', '39', '4', '', '4/4/2016', '11:22:00.0000005') ,_x000D_
('15', '38', '', 'Flexibility', '30', '0', '', '4/3/2016', '11:23:00.0000000') ,_x000D_
('15', '39', '', 'Strength', '56', '8', '', '4/2/2016', '11:23:00.0000000') ,_x000D_
('15', '40', '', 'Flexibility', '30', '0', '', '4/1/2016', '11:23:00.0000000') ,_x000D_
('15', '41', '', 'Endurance', '48', '3', '', '3/31/2016', '11:24:00.0000005') ,_x000D_
('15', '42', '', 'Flexibility', '30', '0', '', '3/30/2016', '11:28:00.0000005') ,_x000D_
('15', '43', '', 'Endurance', '11', '4', '', '3/29/2016', '11:22:00.0000006') ,_x000D_
('15', '44', '', 'Flexibility', '30', '0', '', '3/28/2016', '11:23:00.0000000') ,_x000D_
('15', '45', '', 'Flexibility', '24', '5', '', '3/27/2016', '11:23:00.0000000') ,_x000D_
('15', '46', '', 'Flexibility', '30', '0', '', '3/26/2016', '11:23:00.0000000') ,_x000D_
('15', '47', '', 'Flexibility', '50', '6', '', '3/25/2016', '11:24:00.0000006') ,_x000D_
('15', '48', '', 'Flexibility', '30', '0', '', '3/24/2016', '11:28:00.0000006') ,_x000D_
('15', '49', '', 'Balance', '48', '6', '', '3/23/2016', '11:22:00.0000007') ,_x000D_
('15', '50', '', 'Flexibility', '30', '0', '', '3/22/2016', '11:23:00.0000000') ,_x000D_
('15', '51', '', 'Endurance', '29', '7', '', '3/21/2016', '11:23:00.0000000') ,_x000D_
('15', '52', '', 'Flexibility', '30', '0', '', '3/20/2016', '11:23:00.0000000') ,_x000D_
('15', '53', '', 'Endurance', '3', '5', '', '3/19/2016', '11:24:00.0000007') ,_x000D_
('15', '54', '', 'Flexibility', '30', '0', '', '3/18/2016', '11:28:00.0000007') ;</t>
  </si>
  <si>
    <t>Use Biometrix; Insert into Mood Values (</t>
  </si>
  <si>
    <t>02:40:00.0000000</t>
  </si>
  <si>
    <t>13:15:00.0000000</t>
  </si>
  <si>
    <t>02:54:00.0000000</t>
  </si>
  <si>
    <t>15:25:00.0000000</t>
  </si>
  <si>
    <t>02:40:00.0000001</t>
  </si>
  <si>
    <t>13:15:00.0000001</t>
  </si>
  <si>
    <t>02:54:00.0000001</t>
  </si>
  <si>
    <t>15:25:00.0000001</t>
  </si>
  <si>
    <t>02:40:00.0000002</t>
  </si>
  <si>
    <t>13:15:00.0000002</t>
  </si>
  <si>
    <t>02:54:00.0000002</t>
  </si>
  <si>
    <t>15:25:00.0000002</t>
  </si>
  <si>
    <t>02:40:00.0000003</t>
  </si>
  <si>
    <t>13:15:00.0000003</t>
  </si>
  <si>
    <t>02:54:00.0000003</t>
  </si>
  <si>
    <t>15:25:00.0000003</t>
  </si>
  <si>
    <t>02:40:00.0000004</t>
  </si>
  <si>
    <t>13:15:00.0000004</t>
  </si>
  <si>
    <t>02:54:00.0000004</t>
  </si>
  <si>
    <t>15:25:00.0000004</t>
  </si>
  <si>
    <t>02:40:00.0000005</t>
  </si>
  <si>
    <t>13:15:00.0000005</t>
  </si>
  <si>
    <t>02:54:00.0000005</t>
  </si>
  <si>
    <t>15:25:00.0000005</t>
  </si>
  <si>
    <t>02:40:00.0000006</t>
  </si>
  <si>
    <t>13:15:00.0000006</t>
  </si>
  <si>
    <t>02:54:00.0000006</t>
  </si>
  <si>
    <t>15:25:00.0000006</t>
  </si>
  <si>
    <t>02:40:00.0000007</t>
  </si>
  <si>
    <t>13:15:00.0000007</t>
  </si>
  <si>
    <t>02:54:00.0000007</t>
  </si>
  <si>
    <t>15:25:00.0000007</t>
  </si>
  <si>
    <t>02:40:00.0000008</t>
  </si>
  <si>
    <t>13:15:00.0000008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</si>
</sst>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9"/>
      <color rgb="FF80808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  <xf numFmtId="14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2"/>
  <sheetViews>
    <sheetView workbookViewId="0"/>
  </sheetViews>
  <sheetFormatPr defaultRowHeight="15" x14ac:dyDescent="0.25"/>
  <cols>
    <col min="1" max="1" width="152.140625" customWidth="1"/>
  </cols>
  <sheetData>
    <row r="1" spans="1:1" x14ac:dyDescent="0.25">
      <c r="A1" t="s">
        <v>125</v>
      </c>
    </row>
    <row r="2" spans="1:1" x14ac:dyDescent="0.25">
      <c r="A2" t="s">
        <v>126</v>
      </c>
    </row>
    <row r="4" spans="1:1" x14ac:dyDescent="0.25">
      <c r="A4" t="s">
        <v>131</v>
      </c>
    </row>
    <row r="5" spans="1:1" x14ac:dyDescent="0.25">
      <c r="A5" t="s">
        <v>127</v>
      </c>
    </row>
    <row r="6" spans="1:1" x14ac:dyDescent="0.25">
      <c r="A6" t="s">
        <v>128</v>
      </c>
    </row>
    <row r="7" spans="1:1" x14ac:dyDescent="0.25">
      <c r="A7" t="s">
        <v>129</v>
      </c>
    </row>
    <row r="8" spans="1:1" x14ac:dyDescent="0.25">
      <c r="A8" t="s">
        <v>130</v>
      </c>
    </row>
    <row r="10" spans="1:1" x14ac:dyDescent="0.25">
      <c r="A10" t="s">
        <v>132</v>
      </c>
    </row>
    <row r="11" spans="1:1" x14ac:dyDescent="0.25">
      <c r="A11" t="s">
        <v>133</v>
      </c>
    </row>
    <row r="12" spans="1:1" x14ac:dyDescent="0.25">
      <c r="A12" t="s">
        <v>134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D16" sqref="D16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5.42578125" customWidth="1"/>
    <col min="4" max="4" width="30.42578125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  <c r="H1" t="s">
        <v>83</v>
      </c>
    </row>
    <row r="2" spans="1:8" x14ac:dyDescent="0.25">
      <c r="D2" t="s">
        <v>29</v>
      </c>
      <c r="E2">
        <f>A2</f>
        <v>0</v>
      </c>
      <c r="G2" t="s">
        <v>33</v>
      </c>
    </row>
    <row r="3" spans="1:8" x14ac:dyDescent="0.25">
      <c r="A3" t="s">
        <v>28</v>
      </c>
      <c r="B3" t="s">
        <v>16</v>
      </c>
      <c r="C3" t="s">
        <v>35</v>
      </c>
      <c r="D3" t="s">
        <v>121</v>
      </c>
      <c r="E3" t="s">
        <v>36</v>
      </c>
      <c r="F3" t="s">
        <v>166</v>
      </c>
      <c r="G3" t="s">
        <v>37</v>
      </c>
    </row>
    <row r="4" spans="1:8" x14ac:dyDescent="0.25">
      <c r="A4" t="s">
        <v>0</v>
      </c>
      <c r="B4" t="s">
        <v>16</v>
      </c>
      <c r="C4" t="s">
        <v>38</v>
      </c>
      <c r="D4" t="s">
        <v>122</v>
      </c>
      <c r="E4" t="s">
        <v>39</v>
      </c>
      <c r="F4" t="s">
        <v>40</v>
      </c>
      <c r="G4" t="s">
        <v>59</v>
      </c>
    </row>
    <row r="5" spans="1:8" x14ac:dyDescent="0.25">
      <c r="A5" t="s">
        <v>36</v>
      </c>
      <c r="B5" t="s">
        <v>16</v>
      </c>
      <c r="C5" t="s">
        <v>41</v>
      </c>
      <c r="E5" t="s">
        <v>28</v>
      </c>
      <c r="F5" t="s">
        <v>42</v>
      </c>
      <c r="G5" t="s">
        <v>43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5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48</v>
      </c>
      <c r="B8" t="s">
        <v>16</v>
      </c>
      <c r="C8" t="s">
        <v>49</v>
      </c>
      <c r="E8" t="str">
        <f t="shared" si="0"/>
        <v>Depression</v>
      </c>
      <c r="F8" t="s">
        <v>42</v>
      </c>
      <c r="G8" t="s">
        <v>50</v>
      </c>
    </row>
    <row r="9" spans="1:8" x14ac:dyDescent="0.25">
      <c r="A9" t="s">
        <v>51</v>
      </c>
      <c r="B9" t="s">
        <v>16</v>
      </c>
      <c r="C9" t="s">
        <v>49</v>
      </c>
      <c r="E9" t="str">
        <f t="shared" si="0"/>
        <v>Elevated</v>
      </c>
      <c r="F9" t="s">
        <v>42</v>
      </c>
      <c r="G9" t="s">
        <v>52</v>
      </c>
    </row>
    <row r="10" spans="1:8" x14ac:dyDescent="0.25">
      <c r="A10" t="s">
        <v>53</v>
      </c>
      <c r="B10" t="s">
        <v>16</v>
      </c>
      <c r="C10" t="s">
        <v>49</v>
      </c>
      <c r="E10" t="str">
        <f t="shared" si="0"/>
        <v>Irritable</v>
      </c>
      <c r="F10" t="s">
        <v>42</v>
      </c>
      <c r="G10" t="s">
        <v>54</v>
      </c>
    </row>
    <row r="11" spans="1:8" x14ac:dyDescent="0.25">
      <c r="A11" t="s">
        <v>55</v>
      </c>
      <c r="B11" t="s">
        <v>16</v>
      </c>
      <c r="C11" t="s">
        <v>49</v>
      </c>
      <c r="E11" t="str">
        <f t="shared" si="0"/>
        <v>Anxiety</v>
      </c>
      <c r="F11" t="s">
        <v>42</v>
      </c>
      <c r="G11" t="s">
        <v>56</v>
      </c>
    </row>
    <row r="12" spans="1:8" x14ac:dyDescent="0.25">
      <c r="A12" t="s">
        <v>206</v>
      </c>
      <c r="B12" t="s">
        <v>16</v>
      </c>
      <c r="C12" t="s">
        <v>49</v>
      </c>
      <c r="E12" t="str">
        <f t="shared" ref="E12:E14" si="1">A12</f>
        <v>Sad</v>
      </c>
      <c r="F12" t="s">
        <v>42</v>
      </c>
      <c r="G12" t="s">
        <v>209</v>
      </c>
    </row>
    <row r="13" spans="1:8" x14ac:dyDescent="0.25">
      <c r="A13" t="s">
        <v>207</v>
      </c>
      <c r="B13" t="s">
        <v>16</v>
      </c>
      <c r="C13" t="s">
        <v>49</v>
      </c>
      <c r="E13" t="str">
        <f t="shared" si="1"/>
        <v>Happy</v>
      </c>
      <c r="F13" t="s">
        <v>42</v>
      </c>
      <c r="G13" t="s">
        <v>210</v>
      </c>
    </row>
    <row r="14" spans="1:8" x14ac:dyDescent="0.25">
      <c r="A14" t="s">
        <v>208</v>
      </c>
      <c r="B14" t="s">
        <v>16</v>
      </c>
      <c r="C14" t="s">
        <v>49</v>
      </c>
      <c r="E14" t="str">
        <f t="shared" si="1"/>
        <v>Anger</v>
      </c>
      <c r="F14" t="s">
        <v>42</v>
      </c>
      <c r="G14" t="s">
        <v>211</v>
      </c>
    </row>
    <row r="15" spans="1:8" x14ac:dyDescent="0.25">
      <c r="A15" t="s">
        <v>24</v>
      </c>
      <c r="B15" t="s">
        <v>25</v>
      </c>
      <c r="C15" t="s">
        <v>49</v>
      </c>
      <c r="E15" t="str">
        <f t="shared" si="0"/>
        <v>Notes</v>
      </c>
      <c r="F15" t="s">
        <v>57</v>
      </c>
      <c r="G15" t="s">
        <v>58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7"/>
  <sheetViews>
    <sheetView tabSelected="1" topLeftCell="A37" workbookViewId="0">
      <selection activeCell="A37" sqref="A37"/>
    </sheetView>
  </sheetViews>
  <sheetFormatPr defaultRowHeight="15" x14ac:dyDescent="0.25"/>
  <cols>
    <col min="3" max="3" width="9.7109375" bestFit="1" customWidth="1"/>
    <col min="4" max="4" width="15.85546875" style="4" bestFit="1" customWidth="1"/>
  </cols>
  <sheetData>
    <row r="1" spans="1:12" x14ac:dyDescent="0.25">
      <c r="A1" t="s">
        <v>267</v>
      </c>
    </row>
    <row r="2" spans="1:12" x14ac:dyDescent="0.25">
      <c r="A2" t="s">
        <v>0</v>
      </c>
      <c r="B2" t="s">
        <v>36</v>
      </c>
      <c r="C2" t="s">
        <v>17</v>
      </c>
      <c r="D2" s="4" t="s">
        <v>45</v>
      </c>
      <c r="E2" t="s">
        <v>48</v>
      </c>
      <c r="F2" t="s">
        <v>51</v>
      </c>
      <c r="G2" t="s">
        <v>53</v>
      </c>
      <c r="H2" t="s">
        <v>55</v>
      </c>
      <c r="I2" t="s">
        <v>206</v>
      </c>
      <c r="J2" t="s">
        <v>207</v>
      </c>
      <c r="K2" t="s">
        <v>208</v>
      </c>
      <c r="L2" t="s">
        <v>24</v>
      </c>
    </row>
    <row r="3" spans="1:12" x14ac:dyDescent="0.25">
      <c r="A3">
        <v>15</v>
      </c>
      <c r="B3">
        <v>13</v>
      </c>
      <c r="C3" s="3">
        <v>42481</v>
      </c>
      <c r="D3" s="4" t="s">
        <v>268</v>
      </c>
      <c r="E3">
        <f ca="1">RANDBETWEEN(0, 10)</f>
        <v>6</v>
      </c>
      <c r="F3">
        <f t="shared" ref="F3:K18" ca="1" si="0">RANDBETWEEN(0, 10)</f>
        <v>2</v>
      </c>
      <c r="G3">
        <f t="shared" ca="1" si="0"/>
        <v>3</v>
      </c>
      <c r="H3">
        <f t="shared" ca="1" si="0"/>
        <v>1</v>
      </c>
      <c r="I3">
        <f t="shared" ca="1" si="0"/>
        <v>1</v>
      </c>
      <c r="J3">
        <f t="shared" ca="1" si="0"/>
        <v>7</v>
      </c>
      <c r="K3">
        <f t="shared" ca="1" si="0"/>
        <v>5</v>
      </c>
    </row>
    <row r="4" spans="1:12" x14ac:dyDescent="0.25">
      <c r="A4">
        <v>15</v>
      </c>
      <c r="B4">
        <v>14</v>
      </c>
      <c r="C4" s="3">
        <v>42480</v>
      </c>
      <c r="D4" s="4" t="s">
        <v>269</v>
      </c>
      <c r="E4">
        <f t="shared" ref="E4:K19" ca="1" si="1">RANDBETWEEN(0, 10)</f>
        <v>5</v>
      </c>
      <c r="F4">
        <f t="shared" ca="1" si="0"/>
        <v>8</v>
      </c>
      <c r="G4">
        <f t="shared" ca="1" si="0"/>
        <v>6</v>
      </c>
      <c r="H4">
        <f t="shared" ca="1" si="0"/>
        <v>4</v>
      </c>
      <c r="I4">
        <f t="shared" ca="1" si="0"/>
        <v>5</v>
      </c>
      <c r="J4">
        <f t="shared" ca="1" si="0"/>
        <v>7</v>
      </c>
      <c r="K4">
        <f t="shared" ca="1" si="0"/>
        <v>8</v>
      </c>
    </row>
    <row r="5" spans="1:12" x14ac:dyDescent="0.25">
      <c r="A5">
        <v>15</v>
      </c>
      <c r="B5">
        <v>15</v>
      </c>
      <c r="C5" s="3">
        <v>42479</v>
      </c>
      <c r="D5" s="4" t="s">
        <v>270</v>
      </c>
      <c r="E5">
        <f t="shared" ca="1" si="1"/>
        <v>1</v>
      </c>
      <c r="F5">
        <f t="shared" ca="1" si="0"/>
        <v>3</v>
      </c>
      <c r="G5">
        <f t="shared" ca="1" si="0"/>
        <v>2</v>
      </c>
      <c r="H5">
        <f t="shared" ca="1" si="0"/>
        <v>8</v>
      </c>
      <c r="I5">
        <f t="shared" ca="1" si="0"/>
        <v>7</v>
      </c>
      <c r="J5">
        <f t="shared" ca="1" si="0"/>
        <v>4</v>
      </c>
      <c r="K5">
        <f t="shared" ca="1" si="0"/>
        <v>8</v>
      </c>
    </row>
    <row r="6" spans="1:12" x14ac:dyDescent="0.25">
      <c r="A6">
        <v>15</v>
      </c>
      <c r="B6">
        <v>16</v>
      </c>
      <c r="C6" s="3">
        <v>42478</v>
      </c>
      <c r="D6" s="4" t="s">
        <v>271</v>
      </c>
      <c r="E6">
        <f t="shared" ca="1" si="1"/>
        <v>5</v>
      </c>
      <c r="F6">
        <f t="shared" ca="1" si="0"/>
        <v>9</v>
      </c>
      <c r="G6">
        <f t="shared" ca="1" si="0"/>
        <v>1</v>
      </c>
      <c r="H6">
        <f t="shared" ca="1" si="0"/>
        <v>10</v>
      </c>
      <c r="I6">
        <f t="shared" ca="1" si="0"/>
        <v>6</v>
      </c>
      <c r="J6">
        <f t="shared" ca="1" si="0"/>
        <v>1</v>
      </c>
      <c r="K6">
        <f t="shared" ca="1" si="0"/>
        <v>2</v>
      </c>
    </row>
    <row r="7" spans="1:12" x14ac:dyDescent="0.25">
      <c r="A7">
        <v>15</v>
      </c>
      <c r="B7">
        <v>17</v>
      </c>
      <c r="C7" s="3">
        <v>42477</v>
      </c>
      <c r="D7" s="4" t="s">
        <v>272</v>
      </c>
      <c r="E7">
        <f t="shared" ca="1" si="1"/>
        <v>5</v>
      </c>
      <c r="F7">
        <f t="shared" ca="1" si="0"/>
        <v>0</v>
      </c>
      <c r="G7">
        <f t="shared" ca="1" si="0"/>
        <v>8</v>
      </c>
      <c r="H7">
        <f t="shared" ca="1" si="0"/>
        <v>0</v>
      </c>
      <c r="I7">
        <f t="shared" ca="1" si="0"/>
        <v>0</v>
      </c>
      <c r="J7">
        <f t="shared" ca="1" si="0"/>
        <v>1</v>
      </c>
      <c r="K7">
        <f t="shared" ca="1" si="0"/>
        <v>2</v>
      </c>
    </row>
    <row r="8" spans="1:12" x14ac:dyDescent="0.25">
      <c r="A8">
        <v>15</v>
      </c>
      <c r="B8">
        <v>18</v>
      </c>
      <c r="C8" s="3">
        <v>42476</v>
      </c>
      <c r="D8" s="4" t="s">
        <v>273</v>
      </c>
      <c r="E8">
        <f t="shared" ca="1" si="1"/>
        <v>1</v>
      </c>
      <c r="F8">
        <f t="shared" ca="1" si="0"/>
        <v>5</v>
      </c>
      <c r="G8">
        <f t="shared" ca="1" si="0"/>
        <v>2</v>
      </c>
      <c r="H8">
        <f t="shared" ca="1" si="0"/>
        <v>4</v>
      </c>
      <c r="I8">
        <f t="shared" ca="1" si="0"/>
        <v>10</v>
      </c>
      <c r="J8">
        <f t="shared" ca="1" si="0"/>
        <v>3</v>
      </c>
      <c r="K8">
        <f t="shared" ca="1" si="0"/>
        <v>10</v>
      </c>
    </row>
    <row r="9" spans="1:12" x14ac:dyDescent="0.25">
      <c r="A9">
        <v>15</v>
      </c>
      <c r="B9">
        <v>19</v>
      </c>
      <c r="C9" s="3">
        <v>42475</v>
      </c>
      <c r="D9" s="4" t="s">
        <v>274</v>
      </c>
      <c r="E9">
        <f t="shared" ca="1" si="1"/>
        <v>3</v>
      </c>
      <c r="F9">
        <f t="shared" ca="1" si="0"/>
        <v>2</v>
      </c>
      <c r="G9">
        <f t="shared" ca="1" si="0"/>
        <v>8</v>
      </c>
      <c r="H9">
        <f t="shared" ca="1" si="0"/>
        <v>10</v>
      </c>
      <c r="I9">
        <f t="shared" ca="1" si="0"/>
        <v>10</v>
      </c>
      <c r="J9">
        <f t="shared" ca="1" si="0"/>
        <v>4</v>
      </c>
      <c r="K9">
        <f t="shared" ca="1" si="0"/>
        <v>10</v>
      </c>
    </row>
    <row r="10" spans="1:12" x14ac:dyDescent="0.25">
      <c r="A10">
        <v>15</v>
      </c>
      <c r="B10">
        <v>20</v>
      </c>
      <c r="C10" s="3">
        <v>42474</v>
      </c>
      <c r="D10" s="4" t="s">
        <v>275</v>
      </c>
      <c r="E10">
        <f t="shared" ca="1" si="1"/>
        <v>7</v>
      </c>
      <c r="F10">
        <f t="shared" ca="1" si="0"/>
        <v>0</v>
      </c>
      <c r="G10">
        <f t="shared" ca="1" si="0"/>
        <v>0</v>
      </c>
      <c r="H10">
        <f t="shared" ca="1" si="0"/>
        <v>8</v>
      </c>
      <c r="I10">
        <f t="shared" ca="1" si="0"/>
        <v>4</v>
      </c>
      <c r="J10">
        <f t="shared" ca="1" si="0"/>
        <v>5</v>
      </c>
      <c r="K10">
        <f t="shared" ca="1" si="0"/>
        <v>9</v>
      </c>
    </row>
    <row r="11" spans="1:12" x14ac:dyDescent="0.25">
      <c r="A11">
        <v>15</v>
      </c>
      <c r="B11">
        <v>21</v>
      </c>
      <c r="C11" s="3">
        <v>42473</v>
      </c>
      <c r="D11" s="4" t="s">
        <v>276</v>
      </c>
      <c r="E11">
        <f t="shared" ca="1" si="1"/>
        <v>5</v>
      </c>
      <c r="F11">
        <f t="shared" ca="1" si="0"/>
        <v>1</v>
      </c>
      <c r="G11">
        <f t="shared" ca="1" si="0"/>
        <v>10</v>
      </c>
      <c r="H11">
        <f t="shared" ca="1" si="0"/>
        <v>9</v>
      </c>
      <c r="I11">
        <f t="shared" ca="1" si="0"/>
        <v>7</v>
      </c>
      <c r="J11">
        <f t="shared" ca="1" si="0"/>
        <v>4</v>
      </c>
      <c r="K11">
        <f t="shared" ca="1" si="0"/>
        <v>3</v>
      </c>
    </row>
    <row r="12" spans="1:12" x14ac:dyDescent="0.25">
      <c r="A12">
        <v>15</v>
      </c>
      <c r="B12">
        <v>22</v>
      </c>
      <c r="C12" s="3">
        <v>42472</v>
      </c>
      <c r="D12" s="4" t="s">
        <v>277</v>
      </c>
      <c r="E12">
        <f t="shared" ca="1" si="1"/>
        <v>7</v>
      </c>
      <c r="F12">
        <f t="shared" ca="1" si="0"/>
        <v>0</v>
      </c>
      <c r="G12">
        <f t="shared" ca="1" si="0"/>
        <v>1</v>
      </c>
      <c r="H12">
        <f t="shared" ca="1" si="0"/>
        <v>9</v>
      </c>
      <c r="I12">
        <f t="shared" ca="1" si="0"/>
        <v>9</v>
      </c>
      <c r="J12">
        <f t="shared" ca="1" si="0"/>
        <v>2</v>
      </c>
      <c r="K12">
        <f t="shared" ca="1" si="0"/>
        <v>1</v>
      </c>
    </row>
    <row r="13" spans="1:12" x14ac:dyDescent="0.25">
      <c r="A13">
        <v>15</v>
      </c>
      <c r="B13">
        <v>23</v>
      </c>
      <c r="C13" s="3">
        <v>42471</v>
      </c>
      <c r="D13" s="4" t="s">
        <v>278</v>
      </c>
      <c r="E13">
        <f t="shared" ca="1" si="1"/>
        <v>3</v>
      </c>
      <c r="F13">
        <f t="shared" ca="1" si="0"/>
        <v>2</v>
      </c>
      <c r="G13">
        <f t="shared" ca="1" si="0"/>
        <v>3</v>
      </c>
      <c r="H13">
        <f t="shared" ca="1" si="0"/>
        <v>3</v>
      </c>
      <c r="I13">
        <f t="shared" ca="1" si="0"/>
        <v>0</v>
      </c>
      <c r="J13">
        <f t="shared" ca="1" si="0"/>
        <v>8</v>
      </c>
      <c r="K13">
        <f t="shared" ca="1" si="0"/>
        <v>6</v>
      </c>
    </row>
    <row r="14" spans="1:12" x14ac:dyDescent="0.25">
      <c r="A14">
        <v>15</v>
      </c>
      <c r="B14">
        <v>24</v>
      </c>
      <c r="C14" s="3">
        <v>42470</v>
      </c>
      <c r="D14" s="4" t="s">
        <v>279</v>
      </c>
      <c r="E14">
        <f t="shared" ca="1" si="1"/>
        <v>10</v>
      </c>
      <c r="F14">
        <f t="shared" ca="1" si="0"/>
        <v>0</v>
      </c>
      <c r="G14">
        <f t="shared" ca="1" si="0"/>
        <v>0</v>
      </c>
      <c r="H14">
        <f t="shared" ca="1" si="0"/>
        <v>10</v>
      </c>
      <c r="I14">
        <f t="shared" ca="1" si="0"/>
        <v>3</v>
      </c>
      <c r="J14">
        <f t="shared" ca="1" si="0"/>
        <v>0</v>
      </c>
      <c r="K14">
        <f t="shared" ca="1" si="0"/>
        <v>9</v>
      </c>
    </row>
    <row r="15" spans="1:12" x14ac:dyDescent="0.25">
      <c r="A15">
        <v>15</v>
      </c>
      <c r="B15">
        <v>25</v>
      </c>
      <c r="C15" s="3">
        <v>42469</v>
      </c>
      <c r="D15" s="4" t="s">
        <v>280</v>
      </c>
      <c r="E15">
        <f t="shared" ca="1" si="1"/>
        <v>7</v>
      </c>
      <c r="F15">
        <f t="shared" ca="1" si="0"/>
        <v>1</v>
      </c>
      <c r="G15">
        <f t="shared" ca="1" si="0"/>
        <v>3</v>
      </c>
      <c r="H15">
        <f t="shared" ca="1" si="0"/>
        <v>4</v>
      </c>
      <c r="I15">
        <f t="shared" ca="1" si="0"/>
        <v>5</v>
      </c>
      <c r="J15">
        <f t="shared" ca="1" si="0"/>
        <v>1</v>
      </c>
      <c r="K15">
        <f t="shared" ca="1" si="0"/>
        <v>4</v>
      </c>
    </row>
    <row r="16" spans="1:12" x14ac:dyDescent="0.25">
      <c r="A16">
        <v>15</v>
      </c>
      <c r="B16">
        <v>26</v>
      </c>
      <c r="C16" s="3">
        <v>42468</v>
      </c>
      <c r="D16" s="4" t="s">
        <v>281</v>
      </c>
      <c r="E16">
        <f t="shared" ca="1" si="1"/>
        <v>10</v>
      </c>
      <c r="F16">
        <f t="shared" ca="1" si="0"/>
        <v>5</v>
      </c>
      <c r="G16">
        <f t="shared" ca="1" si="0"/>
        <v>3</v>
      </c>
      <c r="H16">
        <f t="shared" ca="1" si="0"/>
        <v>10</v>
      </c>
      <c r="I16">
        <f t="shared" ca="1" si="0"/>
        <v>2</v>
      </c>
      <c r="J16">
        <f t="shared" ca="1" si="0"/>
        <v>3</v>
      </c>
      <c r="K16">
        <f t="shared" ca="1" si="0"/>
        <v>7</v>
      </c>
    </row>
    <row r="17" spans="1:11" x14ac:dyDescent="0.25">
      <c r="A17">
        <v>15</v>
      </c>
      <c r="B17">
        <v>27</v>
      </c>
      <c r="C17" s="3">
        <v>42467</v>
      </c>
      <c r="D17" s="4" t="s">
        <v>282</v>
      </c>
      <c r="E17">
        <f t="shared" ca="1" si="1"/>
        <v>1</v>
      </c>
      <c r="F17">
        <f t="shared" ca="1" si="0"/>
        <v>2</v>
      </c>
      <c r="G17">
        <f t="shared" ca="1" si="0"/>
        <v>4</v>
      </c>
      <c r="H17">
        <f t="shared" ca="1" si="0"/>
        <v>8</v>
      </c>
      <c r="I17">
        <f t="shared" ca="1" si="0"/>
        <v>10</v>
      </c>
      <c r="J17">
        <f t="shared" ca="1" si="0"/>
        <v>10</v>
      </c>
      <c r="K17">
        <f t="shared" ca="1" si="0"/>
        <v>5</v>
      </c>
    </row>
    <row r="18" spans="1:11" x14ac:dyDescent="0.25">
      <c r="A18">
        <v>15</v>
      </c>
      <c r="B18">
        <v>28</v>
      </c>
      <c r="C18" s="3">
        <v>42466</v>
      </c>
      <c r="D18" s="4" t="s">
        <v>283</v>
      </c>
      <c r="E18">
        <f t="shared" ca="1" si="1"/>
        <v>10</v>
      </c>
      <c r="F18">
        <f t="shared" ca="1" si="0"/>
        <v>4</v>
      </c>
      <c r="G18">
        <f t="shared" ca="1" si="0"/>
        <v>7</v>
      </c>
      <c r="H18">
        <f t="shared" ca="1" si="0"/>
        <v>3</v>
      </c>
      <c r="I18">
        <f t="shared" ca="1" si="0"/>
        <v>1</v>
      </c>
      <c r="J18">
        <f t="shared" ca="1" si="0"/>
        <v>4</v>
      </c>
      <c r="K18">
        <f t="shared" ca="1" si="0"/>
        <v>3</v>
      </c>
    </row>
    <row r="19" spans="1:11" x14ac:dyDescent="0.25">
      <c r="A19">
        <v>15</v>
      </c>
      <c r="B19">
        <v>29</v>
      </c>
      <c r="C19" s="3">
        <v>42465</v>
      </c>
      <c r="D19" s="4" t="s">
        <v>284</v>
      </c>
      <c r="E19">
        <f t="shared" ca="1" si="1"/>
        <v>4</v>
      </c>
      <c r="F19">
        <f t="shared" ca="1" si="1"/>
        <v>8</v>
      </c>
      <c r="G19">
        <f t="shared" ca="1" si="1"/>
        <v>1</v>
      </c>
      <c r="H19">
        <f t="shared" ca="1" si="1"/>
        <v>4</v>
      </c>
      <c r="I19">
        <f t="shared" ca="1" si="1"/>
        <v>3</v>
      </c>
      <c r="J19">
        <f t="shared" ca="1" si="1"/>
        <v>8</v>
      </c>
      <c r="K19">
        <f t="shared" ca="1" si="1"/>
        <v>9</v>
      </c>
    </row>
    <row r="20" spans="1:11" x14ac:dyDescent="0.25">
      <c r="A20">
        <v>15</v>
      </c>
      <c r="B20">
        <v>30</v>
      </c>
      <c r="C20" s="3">
        <v>42464</v>
      </c>
      <c r="D20" s="4" t="s">
        <v>285</v>
      </c>
      <c r="E20">
        <f t="shared" ref="E20:K36" ca="1" si="2">RANDBETWEEN(0, 10)</f>
        <v>1</v>
      </c>
      <c r="F20">
        <f t="shared" ca="1" si="2"/>
        <v>9</v>
      </c>
      <c r="G20">
        <f t="shared" ca="1" si="2"/>
        <v>5</v>
      </c>
      <c r="H20">
        <f t="shared" ca="1" si="2"/>
        <v>2</v>
      </c>
      <c r="I20">
        <f t="shared" ca="1" si="2"/>
        <v>4</v>
      </c>
      <c r="J20">
        <f t="shared" ca="1" si="2"/>
        <v>3</v>
      </c>
      <c r="K20">
        <f t="shared" ca="1" si="2"/>
        <v>5</v>
      </c>
    </row>
    <row r="21" spans="1:11" x14ac:dyDescent="0.25">
      <c r="A21">
        <v>15</v>
      </c>
      <c r="B21">
        <v>31</v>
      </c>
      <c r="C21" s="3">
        <v>42463</v>
      </c>
      <c r="D21" s="4" t="s">
        <v>286</v>
      </c>
      <c r="E21">
        <f t="shared" ca="1" si="2"/>
        <v>2</v>
      </c>
      <c r="F21">
        <f t="shared" ca="1" si="2"/>
        <v>2</v>
      </c>
      <c r="G21">
        <f t="shared" ca="1" si="2"/>
        <v>7</v>
      </c>
      <c r="H21">
        <f t="shared" ca="1" si="2"/>
        <v>5</v>
      </c>
      <c r="I21">
        <f t="shared" ca="1" si="2"/>
        <v>7</v>
      </c>
      <c r="J21">
        <f t="shared" ca="1" si="2"/>
        <v>10</v>
      </c>
      <c r="K21">
        <f t="shared" ca="1" si="2"/>
        <v>2</v>
      </c>
    </row>
    <row r="22" spans="1:11" x14ac:dyDescent="0.25">
      <c r="A22">
        <v>15</v>
      </c>
      <c r="B22">
        <v>32</v>
      </c>
      <c r="C22" s="3">
        <v>42462</v>
      </c>
      <c r="D22" s="4" t="s">
        <v>287</v>
      </c>
      <c r="E22">
        <f t="shared" ca="1" si="2"/>
        <v>4</v>
      </c>
      <c r="F22">
        <f t="shared" ca="1" si="2"/>
        <v>7</v>
      </c>
      <c r="G22">
        <f t="shared" ca="1" si="2"/>
        <v>2</v>
      </c>
      <c r="H22">
        <f t="shared" ca="1" si="2"/>
        <v>1</v>
      </c>
      <c r="I22">
        <f t="shared" ca="1" si="2"/>
        <v>7</v>
      </c>
      <c r="J22">
        <f t="shared" ca="1" si="2"/>
        <v>3</v>
      </c>
      <c r="K22">
        <f t="shared" ca="1" si="2"/>
        <v>4</v>
      </c>
    </row>
    <row r="23" spans="1:11" x14ac:dyDescent="0.25">
      <c r="A23">
        <v>15</v>
      </c>
      <c r="B23">
        <v>33</v>
      </c>
      <c r="C23" s="3">
        <v>42461</v>
      </c>
      <c r="D23" s="4" t="s">
        <v>288</v>
      </c>
      <c r="E23">
        <f t="shared" ca="1" si="2"/>
        <v>6</v>
      </c>
      <c r="F23">
        <f t="shared" ca="1" si="2"/>
        <v>4</v>
      </c>
      <c r="G23">
        <f t="shared" ca="1" si="2"/>
        <v>7</v>
      </c>
      <c r="H23">
        <f t="shared" ca="1" si="2"/>
        <v>1</v>
      </c>
      <c r="I23">
        <f t="shared" ca="1" si="2"/>
        <v>7</v>
      </c>
      <c r="J23">
        <f t="shared" ca="1" si="2"/>
        <v>9</v>
      </c>
      <c r="K23">
        <f t="shared" ca="1" si="2"/>
        <v>2</v>
      </c>
    </row>
    <row r="24" spans="1:11" x14ac:dyDescent="0.25">
      <c r="A24">
        <v>15</v>
      </c>
      <c r="B24">
        <v>34</v>
      </c>
      <c r="C24" s="3">
        <v>42460</v>
      </c>
      <c r="D24" s="4" t="s">
        <v>289</v>
      </c>
      <c r="E24">
        <f t="shared" ca="1" si="2"/>
        <v>8</v>
      </c>
      <c r="F24">
        <f t="shared" ca="1" si="2"/>
        <v>3</v>
      </c>
      <c r="G24">
        <f t="shared" ca="1" si="2"/>
        <v>1</v>
      </c>
      <c r="H24">
        <f t="shared" ca="1" si="2"/>
        <v>7</v>
      </c>
      <c r="I24">
        <f t="shared" ca="1" si="2"/>
        <v>6</v>
      </c>
      <c r="J24">
        <f t="shared" ca="1" si="2"/>
        <v>0</v>
      </c>
      <c r="K24">
        <f t="shared" ca="1" si="2"/>
        <v>9</v>
      </c>
    </row>
    <row r="25" spans="1:11" x14ac:dyDescent="0.25">
      <c r="A25">
        <v>15</v>
      </c>
      <c r="B25">
        <v>35</v>
      </c>
      <c r="C25" s="3">
        <v>42459</v>
      </c>
      <c r="D25" s="4" t="s">
        <v>290</v>
      </c>
      <c r="E25">
        <f t="shared" ca="1" si="2"/>
        <v>9</v>
      </c>
      <c r="F25">
        <f t="shared" ca="1" si="2"/>
        <v>7</v>
      </c>
      <c r="G25">
        <f t="shared" ca="1" si="2"/>
        <v>2</v>
      </c>
      <c r="H25">
        <f t="shared" ca="1" si="2"/>
        <v>1</v>
      </c>
      <c r="I25">
        <f t="shared" ca="1" si="2"/>
        <v>1</v>
      </c>
      <c r="J25">
        <f t="shared" ca="1" si="2"/>
        <v>10</v>
      </c>
      <c r="K25">
        <f t="shared" ca="1" si="2"/>
        <v>3</v>
      </c>
    </row>
    <row r="26" spans="1:11" x14ac:dyDescent="0.25">
      <c r="A26">
        <v>15</v>
      </c>
      <c r="B26">
        <v>36</v>
      </c>
      <c r="C26" s="3">
        <v>42458</v>
      </c>
      <c r="D26" s="4" t="s">
        <v>291</v>
      </c>
      <c r="E26">
        <f t="shared" ca="1" si="2"/>
        <v>0</v>
      </c>
      <c r="F26">
        <f t="shared" ca="1" si="2"/>
        <v>6</v>
      </c>
      <c r="G26">
        <f t="shared" ca="1" si="2"/>
        <v>5</v>
      </c>
      <c r="H26">
        <f t="shared" ca="1" si="2"/>
        <v>7</v>
      </c>
      <c r="I26">
        <f t="shared" ca="1" si="2"/>
        <v>10</v>
      </c>
      <c r="J26">
        <f t="shared" ca="1" si="2"/>
        <v>10</v>
      </c>
      <c r="K26">
        <f t="shared" ca="1" si="2"/>
        <v>5</v>
      </c>
    </row>
    <row r="27" spans="1:11" x14ac:dyDescent="0.25">
      <c r="A27">
        <v>15</v>
      </c>
      <c r="B27">
        <v>37</v>
      </c>
      <c r="C27" s="3">
        <v>42457</v>
      </c>
      <c r="D27" s="4" t="s">
        <v>292</v>
      </c>
      <c r="E27">
        <f t="shared" ca="1" si="2"/>
        <v>9</v>
      </c>
      <c r="F27">
        <f t="shared" ca="1" si="2"/>
        <v>3</v>
      </c>
      <c r="G27">
        <f t="shared" ca="1" si="2"/>
        <v>10</v>
      </c>
      <c r="H27">
        <f t="shared" ca="1" si="2"/>
        <v>8</v>
      </c>
      <c r="I27">
        <f t="shared" ca="1" si="2"/>
        <v>1</v>
      </c>
      <c r="J27">
        <f t="shared" ca="1" si="2"/>
        <v>1</v>
      </c>
      <c r="K27">
        <f t="shared" ca="1" si="2"/>
        <v>4</v>
      </c>
    </row>
    <row r="28" spans="1:11" x14ac:dyDescent="0.25">
      <c r="A28">
        <v>15</v>
      </c>
      <c r="B28">
        <v>38</v>
      </c>
      <c r="C28" s="3">
        <v>42456</v>
      </c>
      <c r="D28" s="4" t="s">
        <v>293</v>
      </c>
      <c r="E28">
        <f t="shared" ca="1" si="2"/>
        <v>1</v>
      </c>
      <c r="F28">
        <f t="shared" ca="1" si="2"/>
        <v>5</v>
      </c>
      <c r="G28">
        <f t="shared" ca="1" si="2"/>
        <v>9</v>
      </c>
      <c r="H28">
        <f t="shared" ca="1" si="2"/>
        <v>2</v>
      </c>
      <c r="I28">
        <f t="shared" ca="1" si="2"/>
        <v>7</v>
      </c>
      <c r="J28">
        <f t="shared" ca="1" si="2"/>
        <v>2</v>
      </c>
      <c r="K28">
        <f t="shared" ca="1" si="2"/>
        <v>7</v>
      </c>
    </row>
    <row r="29" spans="1:11" x14ac:dyDescent="0.25">
      <c r="A29">
        <v>15</v>
      </c>
      <c r="B29">
        <v>39</v>
      </c>
      <c r="C29" s="3">
        <v>42455</v>
      </c>
      <c r="D29" s="4" t="s">
        <v>294</v>
      </c>
      <c r="E29">
        <f t="shared" ca="1" si="2"/>
        <v>6</v>
      </c>
      <c r="F29">
        <f t="shared" ca="1" si="2"/>
        <v>7</v>
      </c>
      <c r="G29">
        <f t="shared" ca="1" si="2"/>
        <v>6</v>
      </c>
      <c r="H29">
        <f t="shared" ca="1" si="2"/>
        <v>5</v>
      </c>
      <c r="I29">
        <f t="shared" ca="1" si="2"/>
        <v>1</v>
      </c>
      <c r="J29">
        <f t="shared" ca="1" si="2"/>
        <v>1</v>
      </c>
      <c r="K29">
        <f t="shared" ca="1" si="2"/>
        <v>1</v>
      </c>
    </row>
    <row r="30" spans="1:11" x14ac:dyDescent="0.25">
      <c r="A30">
        <v>15</v>
      </c>
      <c r="B30">
        <v>40</v>
      </c>
      <c r="C30" s="3">
        <v>42454</v>
      </c>
      <c r="D30" s="4" t="s">
        <v>295</v>
      </c>
      <c r="E30">
        <f t="shared" ca="1" si="2"/>
        <v>0</v>
      </c>
      <c r="F30">
        <f t="shared" ca="1" si="2"/>
        <v>5</v>
      </c>
      <c r="G30">
        <f t="shared" ca="1" si="2"/>
        <v>6</v>
      </c>
      <c r="H30">
        <f t="shared" ca="1" si="2"/>
        <v>9</v>
      </c>
      <c r="I30">
        <f t="shared" ca="1" si="2"/>
        <v>6</v>
      </c>
      <c r="J30">
        <f t="shared" ca="1" si="2"/>
        <v>3</v>
      </c>
      <c r="K30">
        <f t="shared" ca="1" si="2"/>
        <v>0</v>
      </c>
    </row>
    <row r="31" spans="1:11" x14ac:dyDescent="0.25">
      <c r="A31">
        <v>15</v>
      </c>
      <c r="B31">
        <v>41</v>
      </c>
      <c r="C31" s="3">
        <v>42453</v>
      </c>
      <c r="D31" s="4" t="s">
        <v>296</v>
      </c>
      <c r="E31">
        <f t="shared" ca="1" si="2"/>
        <v>3</v>
      </c>
      <c r="F31">
        <f t="shared" ca="1" si="2"/>
        <v>7</v>
      </c>
      <c r="G31">
        <f t="shared" ca="1" si="2"/>
        <v>6</v>
      </c>
      <c r="H31">
        <f t="shared" ca="1" si="2"/>
        <v>9</v>
      </c>
      <c r="I31">
        <f t="shared" ca="1" si="2"/>
        <v>9</v>
      </c>
      <c r="J31">
        <f t="shared" ca="1" si="2"/>
        <v>5</v>
      </c>
      <c r="K31">
        <f t="shared" ca="1" si="2"/>
        <v>3</v>
      </c>
    </row>
    <row r="32" spans="1:11" x14ac:dyDescent="0.25">
      <c r="A32">
        <v>15</v>
      </c>
      <c r="B32">
        <v>42</v>
      </c>
      <c r="C32" s="3">
        <v>42452</v>
      </c>
      <c r="D32" s="4" t="s">
        <v>297</v>
      </c>
      <c r="E32">
        <f t="shared" ca="1" si="2"/>
        <v>1</v>
      </c>
      <c r="F32">
        <f t="shared" ca="1" si="2"/>
        <v>9</v>
      </c>
      <c r="G32">
        <f t="shared" ca="1" si="2"/>
        <v>8</v>
      </c>
      <c r="H32">
        <f t="shared" ca="1" si="2"/>
        <v>8</v>
      </c>
      <c r="I32">
        <f t="shared" ca="1" si="2"/>
        <v>10</v>
      </c>
      <c r="J32">
        <f t="shared" ca="1" si="2"/>
        <v>9</v>
      </c>
      <c r="K32">
        <f t="shared" ca="1" si="2"/>
        <v>10</v>
      </c>
    </row>
    <row r="33" spans="1:11" x14ac:dyDescent="0.25">
      <c r="A33">
        <v>15</v>
      </c>
      <c r="B33">
        <v>43</v>
      </c>
      <c r="C33" s="3">
        <v>42451</v>
      </c>
      <c r="D33" s="4" t="s">
        <v>298</v>
      </c>
      <c r="E33">
        <f t="shared" ca="1" si="2"/>
        <v>1</v>
      </c>
      <c r="F33">
        <f t="shared" ca="1" si="2"/>
        <v>0</v>
      </c>
      <c r="G33">
        <f t="shared" ca="1" si="2"/>
        <v>8</v>
      </c>
      <c r="H33">
        <f t="shared" ca="1" si="2"/>
        <v>4</v>
      </c>
      <c r="I33">
        <f t="shared" ca="1" si="2"/>
        <v>7</v>
      </c>
      <c r="J33">
        <f t="shared" ca="1" si="2"/>
        <v>8</v>
      </c>
      <c r="K33">
        <f t="shared" ca="1" si="2"/>
        <v>6</v>
      </c>
    </row>
    <row r="34" spans="1:11" x14ac:dyDescent="0.25">
      <c r="A34">
        <v>15</v>
      </c>
      <c r="B34">
        <v>44</v>
      </c>
      <c r="C34" s="3">
        <v>42450</v>
      </c>
      <c r="D34" s="4" t="s">
        <v>299</v>
      </c>
      <c r="E34">
        <f t="shared" ca="1" si="2"/>
        <v>0</v>
      </c>
      <c r="F34">
        <f t="shared" ca="1" si="2"/>
        <v>3</v>
      </c>
      <c r="G34">
        <f t="shared" ca="1" si="2"/>
        <v>7</v>
      </c>
      <c r="H34">
        <f t="shared" ca="1" si="2"/>
        <v>10</v>
      </c>
      <c r="I34">
        <f t="shared" ca="1" si="2"/>
        <v>6</v>
      </c>
      <c r="J34">
        <f t="shared" ca="1" si="2"/>
        <v>7</v>
      </c>
      <c r="K34">
        <f t="shared" ca="1" si="2"/>
        <v>3</v>
      </c>
    </row>
    <row r="35" spans="1:11" x14ac:dyDescent="0.25">
      <c r="A35">
        <v>15</v>
      </c>
      <c r="B35">
        <v>45</v>
      </c>
      <c r="C35" s="3">
        <v>42449</v>
      </c>
      <c r="D35" s="4" t="s">
        <v>300</v>
      </c>
      <c r="E35">
        <f t="shared" ca="1" si="2"/>
        <v>9</v>
      </c>
      <c r="F35">
        <f t="shared" ca="1" si="2"/>
        <v>3</v>
      </c>
      <c r="G35">
        <f t="shared" ca="1" si="2"/>
        <v>9</v>
      </c>
      <c r="H35">
        <f t="shared" ca="1" si="2"/>
        <v>7</v>
      </c>
      <c r="I35">
        <f t="shared" ca="1" si="2"/>
        <v>2</v>
      </c>
      <c r="J35">
        <f t="shared" ca="1" si="2"/>
        <v>0</v>
      </c>
      <c r="K35">
        <f t="shared" ca="1" si="2"/>
        <v>7</v>
      </c>
    </row>
    <row r="36" spans="1:11" x14ac:dyDescent="0.25">
      <c r="A36">
        <v>15</v>
      </c>
      <c r="B36">
        <v>46</v>
      </c>
      <c r="C36" s="3">
        <v>42448</v>
      </c>
      <c r="D36" s="4" t="s">
        <v>301</v>
      </c>
      <c r="E36">
        <f t="shared" ca="1" si="2"/>
        <v>6</v>
      </c>
      <c r="F36">
        <f t="shared" ca="1" si="2"/>
        <v>1</v>
      </c>
      <c r="G36">
        <f t="shared" ca="1" si="2"/>
        <v>8</v>
      </c>
      <c r="H36">
        <f t="shared" ca="1" si="2"/>
        <v>7</v>
      </c>
      <c r="I36">
        <f t="shared" ca="1" si="2"/>
        <v>9</v>
      </c>
      <c r="J36">
        <f t="shared" ca="1" si="2"/>
        <v>7</v>
      </c>
      <c r="K36">
        <f t="shared" ca="1" si="2"/>
        <v>2</v>
      </c>
    </row>
    <row r="37" spans="1:11" x14ac:dyDescent="0.25">
      <c r="A37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"/>
  <sheetViews>
    <sheetView topLeftCell="A10" workbookViewId="0">
      <selection activeCell="B7" sqref="B7"/>
    </sheetView>
  </sheetViews>
  <sheetFormatPr defaultRowHeight="15" x14ac:dyDescent="0.25"/>
  <cols>
    <col min="1" max="1" width="35.28515625" bestFit="1" customWidth="1"/>
    <col min="2" max="2" width="138.7109375" customWidth="1"/>
  </cols>
  <sheetData>
    <row r="1" spans="1:3" ht="210" x14ac:dyDescent="0.25">
      <c r="A1" t="s">
        <v>60</v>
      </c>
      <c r="B1" s="1" t="s">
        <v>212</v>
      </c>
    </row>
    <row r="2" spans="1:3" ht="210" x14ac:dyDescent="0.25">
      <c r="A2" t="s">
        <v>112</v>
      </c>
      <c r="B2" s="1" t="s">
        <v>213</v>
      </c>
    </row>
    <row r="3" spans="1:3" ht="30" x14ac:dyDescent="0.25">
      <c r="A3" t="s">
        <v>124</v>
      </c>
      <c r="B3" s="1" t="s">
        <v>214</v>
      </c>
    </row>
    <row r="4" spans="1:3" x14ac:dyDescent="0.25">
      <c r="A4" t="s">
        <v>176</v>
      </c>
      <c r="B4" t="s">
        <v>215</v>
      </c>
    </row>
    <row r="5" spans="1:3" ht="375" x14ac:dyDescent="0.25">
      <c r="A5" t="s">
        <v>136</v>
      </c>
      <c r="B5" s="1" t="s">
        <v>216</v>
      </c>
    </row>
    <row r="6" spans="1:3" ht="409.5" x14ac:dyDescent="0.25">
      <c r="A6" t="s">
        <v>137</v>
      </c>
      <c r="B6" s="1" t="s">
        <v>217</v>
      </c>
      <c r="C6">
        <v>1917</v>
      </c>
    </row>
    <row r="7" spans="1:3" ht="409.5" x14ac:dyDescent="0.25">
      <c r="A7" t="s">
        <v>138</v>
      </c>
      <c r="B7" s="1" t="s">
        <v>223</v>
      </c>
      <c r="C7">
        <v>2051</v>
      </c>
    </row>
    <row r="8" spans="1:3" ht="409.5" x14ac:dyDescent="0.25">
      <c r="A8" t="s">
        <v>165</v>
      </c>
      <c r="B8" s="1" t="s">
        <v>218</v>
      </c>
      <c r="C8">
        <v>546</v>
      </c>
    </row>
    <row r="9" spans="1:3" ht="409.5" x14ac:dyDescent="0.25">
      <c r="A9" t="s">
        <v>164</v>
      </c>
      <c r="B9" s="1" t="s">
        <v>219</v>
      </c>
      <c r="C9">
        <v>1253</v>
      </c>
    </row>
    <row r="10" spans="1:3" ht="165" x14ac:dyDescent="0.25">
      <c r="A10" t="s">
        <v>168</v>
      </c>
      <c r="B10" s="1" t="s">
        <v>167</v>
      </c>
      <c r="C10">
        <v>296</v>
      </c>
    </row>
    <row r="11" spans="1:3" ht="409.5" x14ac:dyDescent="0.25">
      <c r="A11" t="s">
        <v>173</v>
      </c>
      <c r="B11" s="1" t="s">
        <v>220</v>
      </c>
      <c r="C11">
        <v>1230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8"/>
  <sheetViews>
    <sheetView topLeftCell="A3" workbookViewId="0">
      <selection activeCell="A3" sqref="A3:A24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3.8554687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  <c r="H1" t="s">
        <v>83</v>
      </c>
    </row>
    <row r="2" spans="1:8" x14ac:dyDescent="0.25">
      <c r="D2" t="s">
        <v>61</v>
      </c>
      <c r="E2">
        <f>A2</f>
        <v>0</v>
      </c>
      <c r="G2" t="s">
        <v>33</v>
      </c>
    </row>
    <row r="3" spans="1:8" x14ac:dyDescent="0.25">
      <c r="A3" t="s">
        <v>62</v>
      </c>
      <c r="B3" t="s">
        <v>16</v>
      </c>
      <c r="C3" t="s">
        <v>35</v>
      </c>
      <c r="D3" t="s">
        <v>121</v>
      </c>
      <c r="E3" t="s">
        <v>1</v>
      </c>
      <c r="F3" t="s">
        <v>166</v>
      </c>
      <c r="G3" t="s">
        <v>64</v>
      </c>
    </row>
    <row r="4" spans="1:8" x14ac:dyDescent="0.25">
      <c r="A4" t="s">
        <v>0</v>
      </c>
      <c r="B4" t="s">
        <v>16</v>
      </c>
      <c r="C4" t="s">
        <v>38</v>
      </c>
      <c r="D4" t="s">
        <v>122</v>
      </c>
      <c r="E4" t="s">
        <v>39</v>
      </c>
      <c r="F4" t="s">
        <v>40</v>
      </c>
      <c r="G4" t="s">
        <v>59</v>
      </c>
    </row>
    <row r="5" spans="1:8" x14ac:dyDescent="0.25">
      <c r="A5" t="s">
        <v>1</v>
      </c>
      <c r="B5" t="s">
        <v>16</v>
      </c>
      <c r="C5" t="s">
        <v>41</v>
      </c>
      <c r="E5" t="s">
        <v>62</v>
      </c>
      <c r="F5" t="s">
        <v>42</v>
      </c>
      <c r="G5" t="s">
        <v>65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24" si="0">A6</f>
        <v>Date</v>
      </c>
      <c r="F6" t="s">
        <v>44</v>
      </c>
      <c r="G6" t="s">
        <v>18</v>
      </c>
    </row>
    <row r="7" spans="1:8" x14ac:dyDescent="0.25">
      <c r="A7" s="1" t="s">
        <v>19</v>
      </c>
      <c r="B7" t="s">
        <v>20</v>
      </c>
      <c r="C7" t="s">
        <v>49</v>
      </c>
      <c r="E7" t="str">
        <f t="shared" si="0"/>
        <v>FoodType</v>
      </c>
      <c r="F7" t="s">
        <v>194</v>
      </c>
      <c r="G7" t="s">
        <v>66</v>
      </c>
    </row>
    <row r="8" spans="1:8" x14ac:dyDescent="0.25">
      <c r="A8" s="1" t="s">
        <v>21</v>
      </c>
      <c r="B8" t="s">
        <v>22</v>
      </c>
      <c r="C8" t="s">
        <v>49</v>
      </c>
      <c r="E8" t="str">
        <f t="shared" si="0"/>
        <v>Meal</v>
      </c>
      <c r="F8" t="s">
        <v>63</v>
      </c>
      <c r="G8" t="s">
        <v>67</v>
      </c>
    </row>
    <row r="9" spans="1:8" x14ac:dyDescent="0.25">
      <c r="A9" s="1" t="s">
        <v>26</v>
      </c>
      <c r="B9" t="s">
        <v>22</v>
      </c>
      <c r="C9" t="s">
        <v>49</v>
      </c>
      <c r="E9" t="str">
        <f t="shared" si="0"/>
        <v>ServingSize</v>
      </c>
      <c r="F9" t="s">
        <v>63</v>
      </c>
      <c r="G9" t="s">
        <v>76</v>
      </c>
    </row>
    <row r="10" spans="1:8" x14ac:dyDescent="0.25">
      <c r="A10" s="1" t="s">
        <v>2</v>
      </c>
      <c r="B10" t="s">
        <v>16</v>
      </c>
      <c r="C10" t="s">
        <v>49</v>
      </c>
      <c r="E10" t="str">
        <f t="shared" si="0"/>
        <v>Calories</v>
      </c>
      <c r="F10" t="s">
        <v>42</v>
      </c>
      <c r="G10" t="s">
        <v>68</v>
      </c>
    </row>
    <row r="11" spans="1:8" x14ac:dyDescent="0.25">
      <c r="A11" s="1" t="s">
        <v>3</v>
      </c>
      <c r="B11" t="s">
        <v>16</v>
      </c>
      <c r="C11" t="s">
        <v>49</v>
      </c>
      <c r="E11" t="str">
        <f t="shared" si="0"/>
        <v>TotalFat</v>
      </c>
      <c r="F11" t="s">
        <v>42</v>
      </c>
      <c r="G11" t="s">
        <v>77</v>
      </c>
    </row>
    <row r="12" spans="1:8" x14ac:dyDescent="0.25">
      <c r="A12" s="1" t="s">
        <v>4</v>
      </c>
      <c r="B12" t="s">
        <v>16</v>
      </c>
      <c r="C12" t="s">
        <v>49</v>
      </c>
      <c r="E12" t="str">
        <f t="shared" si="0"/>
        <v>SaturatedFat</v>
      </c>
      <c r="F12" t="s">
        <v>42</v>
      </c>
      <c r="G12" t="s">
        <v>82</v>
      </c>
    </row>
    <row r="13" spans="1:8" x14ac:dyDescent="0.25">
      <c r="A13" s="1" t="s">
        <v>5</v>
      </c>
      <c r="B13" t="s">
        <v>16</v>
      </c>
      <c r="C13" t="s">
        <v>49</v>
      </c>
      <c r="E13" t="str">
        <f t="shared" si="0"/>
        <v>TransFat</v>
      </c>
      <c r="F13" t="s">
        <v>42</v>
      </c>
      <c r="G13" t="s">
        <v>78</v>
      </c>
    </row>
    <row r="14" spans="1:8" x14ac:dyDescent="0.25">
      <c r="A14" s="1" t="s">
        <v>6</v>
      </c>
      <c r="B14" t="s">
        <v>16</v>
      </c>
      <c r="C14" t="s">
        <v>49</v>
      </c>
      <c r="E14" t="str">
        <f t="shared" si="0"/>
        <v>Cholesterol</v>
      </c>
      <c r="F14" t="s">
        <v>42</v>
      </c>
      <c r="G14" t="s">
        <v>69</v>
      </c>
    </row>
    <row r="15" spans="1:8" x14ac:dyDescent="0.25">
      <c r="A15" s="1" t="s">
        <v>7</v>
      </c>
      <c r="B15" t="s">
        <v>16</v>
      </c>
      <c r="C15" t="s">
        <v>49</v>
      </c>
      <c r="E15" t="str">
        <f t="shared" si="0"/>
        <v>Sodium</v>
      </c>
      <c r="F15" t="s">
        <v>42</v>
      </c>
      <c r="G15" t="s">
        <v>70</v>
      </c>
    </row>
    <row r="16" spans="1:8" x14ac:dyDescent="0.25">
      <c r="A16" s="1" t="s">
        <v>8</v>
      </c>
      <c r="B16" t="s">
        <v>16</v>
      </c>
      <c r="C16" t="s">
        <v>49</v>
      </c>
      <c r="E16" t="str">
        <f t="shared" si="0"/>
        <v>TotalCarbs</v>
      </c>
      <c r="F16" t="s">
        <v>42</v>
      </c>
      <c r="G16" t="s">
        <v>79</v>
      </c>
    </row>
    <row r="17" spans="1:7" x14ac:dyDescent="0.25">
      <c r="A17" s="1" t="s">
        <v>9</v>
      </c>
      <c r="B17" t="s">
        <v>16</v>
      </c>
      <c r="C17" t="s">
        <v>49</v>
      </c>
      <c r="E17" t="str">
        <f t="shared" si="0"/>
        <v>DietaryFiber</v>
      </c>
      <c r="F17" t="s">
        <v>42</v>
      </c>
      <c r="G17" t="s">
        <v>71</v>
      </c>
    </row>
    <row r="18" spans="1:7" x14ac:dyDescent="0.25">
      <c r="A18" s="1" t="s">
        <v>10</v>
      </c>
      <c r="B18" t="s">
        <v>16</v>
      </c>
      <c r="C18" t="s">
        <v>49</v>
      </c>
      <c r="E18" t="str">
        <f t="shared" si="0"/>
        <v>Sugars</v>
      </c>
      <c r="F18" t="s">
        <v>42</v>
      </c>
      <c r="G18" t="s">
        <v>72</v>
      </c>
    </row>
    <row r="19" spans="1:7" x14ac:dyDescent="0.25">
      <c r="A19" s="1" t="s">
        <v>11</v>
      </c>
      <c r="B19" t="s">
        <v>16</v>
      </c>
      <c r="C19" t="s">
        <v>49</v>
      </c>
      <c r="E19" t="str">
        <f t="shared" si="0"/>
        <v>Protein</v>
      </c>
      <c r="F19" t="s">
        <v>42</v>
      </c>
      <c r="G19" t="s">
        <v>73</v>
      </c>
    </row>
    <row r="20" spans="1:7" x14ac:dyDescent="0.25">
      <c r="A20" s="1" t="s">
        <v>12</v>
      </c>
      <c r="B20" t="s">
        <v>16</v>
      </c>
      <c r="C20" t="s">
        <v>49</v>
      </c>
      <c r="E20" t="str">
        <f t="shared" si="0"/>
        <v>VitaminA</v>
      </c>
      <c r="F20" t="s">
        <v>42</v>
      </c>
      <c r="G20" t="s">
        <v>80</v>
      </c>
    </row>
    <row r="21" spans="1:7" x14ac:dyDescent="0.25">
      <c r="A21" s="1" t="s">
        <v>13</v>
      </c>
      <c r="B21" t="s">
        <v>16</v>
      </c>
      <c r="C21" t="s">
        <v>49</v>
      </c>
      <c r="E21" t="str">
        <f t="shared" si="0"/>
        <v>VitaminB</v>
      </c>
      <c r="F21" t="s">
        <v>42</v>
      </c>
      <c r="G21" t="s">
        <v>81</v>
      </c>
    </row>
    <row r="22" spans="1:7" x14ac:dyDescent="0.25">
      <c r="A22" s="1" t="s">
        <v>14</v>
      </c>
      <c r="B22" t="s">
        <v>16</v>
      </c>
      <c r="C22" t="s">
        <v>49</v>
      </c>
      <c r="E22" t="str">
        <f t="shared" si="0"/>
        <v>Calcium</v>
      </c>
      <c r="F22" t="s">
        <v>42</v>
      </c>
      <c r="G22" t="s">
        <v>74</v>
      </c>
    </row>
    <row r="23" spans="1:7" x14ac:dyDescent="0.25">
      <c r="A23" s="1" t="s">
        <v>15</v>
      </c>
      <c r="B23" t="s">
        <v>16</v>
      </c>
      <c r="C23" t="s">
        <v>49</v>
      </c>
      <c r="E23" t="str">
        <f t="shared" si="0"/>
        <v>Iron</v>
      </c>
      <c r="F23" t="s">
        <v>42</v>
      </c>
      <c r="G23" t="s">
        <v>75</v>
      </c>
    </row>
    <row r="24" spans="1:7" x14ac:dyDescent="0.25">
      <c r="A24" t="s">
        <v>24</v>
      </c>
      <c r="B24" t="s">
        <v>25</v>
      </c>
      <c r="C24" t="s">
        <v>49</v>
      </c>
      <c r="E24" t="str">
        <f t="shared" si="0"/>
        <v>Notes</v>
      </c>
      <c r="F24" t="s">
        <v>57</v>
      </c>
      <c r="G24" t="s">
        <v>58</v>
      </c>
    </row>
    <row r="26" spans="1:7" x14ac:dyDescent="0.25">
      <c r="A26" s="1"/>
    </row>
    <row r="27" spans="1:7" x14ac:dyDescent="0.25">
      <c r="A27" s="1"/>
    </row>
    <row r="28" spans="1:7" x14ac:dyDescent="0.25">
      <c r="A2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41"/>
  <sheetViews>
    <sheetView workbookViewId="0"/>
  </sheetViews>
  <sheetFormatPr defaultRowHeight="15" x14ac:dyDescent="0.25"/>
  <cols>
    <col min="1" max="1" width="30.85546875" customWidth="1"/>
    <col min="3" max="3" width="9.7109375" bestFit="1" customWidth="1"/>
    <col min="6" max="6" width="12.140625" bestFit="1" customWidth="1"/>
    <col min="21" max="21" width="9.5703125" customWidth="1"/>
    <col min="22" max="22" width="32.140625" customWidth="1"/>
  </cols>
  <sheetData>
    <row r="1" spans="1:21" x14ac:dyDescent="0.25">
      <c r="A1" t="s">
        <v>234</v>
      </c>
    </row>
    <row r="2" spans="1:21" x14ac:dyDescent="0.25">
      <c r="A2" t="s">
        <v>0</v>
      </c>
      <c r="B2" t="s">
        <v>1</v>
      </c>
      <c r="C2" t="s">
        <v>17</v>
      </c>
      <c r="D2" t="s">
        <v>19</v>
      </c>
      <c r="E2" t="s">
        <v>21</v>
      </c>
      <c r="F2" t="s">
        <v>26</v>
      </c>
      <c r="G2" t="s">
        <v>2</v>
      </c>
      <c r="H2" t="s">
        <v>3</v>
      </c>
      <c r="I2" t="s">
        <v>4</v>
      </c>
      <c r="J2" t="s">
        <v>5</v>
      </c>
      <c r="K2" t="s">
        <v>6</v>
      </c>
      <c r="L2" t="s">
        <v>7</v>
      </c>
      <c r="M2" t="s">
        <v>8</v>
      </c>
      <c r="N2" t="s">
        <v>9</v>
      </c>
      <c r="O2" t="s">
        <v>10</v>
      </c>
      <c r="P2" t="s">
        <v>11</v>
      </c>
      <c r="Q2" t="s">
        <v>12</v>
      </c>
      <c r="R2" t="s">
        <v>13</v>
      </c>
      <c r="S2" t="s">
        <v>14</v>
      </c>
      <c r="T2" t="s">
        <v>15</v>
      </c>
      <c r="U2" t="s">
        <v>24</v>
      </c>
    </row>
    <row r="3" spans="1:21" x14ac:dyDescent="0.25">
      <c r="A3">
        <v>15</v>
      </c>
      <c r="B3">
        <v>4</v>
      </c>
      <c r="C3" s="3">
        <v>42492</v>
      </c>
      <c r="E3" t="s">
        <v>226</v>
      </c>
      <c r="F3" t="s">
        <v>227</v>
      </c>
      <c r="G3">
        <f t="shared" ref="G3:T6" ca="1" si="0">RANDBETWEEN(0, 300)</f>
        <v>161</v>
      </c>
      <c r="H3">
        <f t="shared" ca="1" si="0"/>
        <v>135</v>
      </c>
      <c r="I3">
        <f t="shared" ca="1" si="0"/>
        <v>143</v>
      </c>
      <c r="J3">
        <f t="shared" ca="1" si="0"/>
        <v>120</v>
      </c>
      <c r="K3">
        <f t="shared" ca="1" si="0"/>
        <v>268</v>
      </c>
      <c r="L3">
        <f t="shared" ca="1" si="0"/>
        <v>222</v>
      </c>
      <c r="M3">
        <f t="shared" ca="1" si="0"/>
        <v>70</v>
      </c>
      <c r="N3">
        <f t="shared" ca="1" si="0"/>
        <v>258</v>
      </c>
      <c r="O3">
        <f t="shared" ca="1" si="0"/>
        <v>162</v>
      </c>
      <c r="P3">
        <f t="shared" ca="1" si="0"/>
        <v>2</v>
      </c>
      <c r="Q3">
        <f t="shared" ca="1" si="0"/>
        <v>238</v>
      </c>
      <c r="R3">
        <f t="shared" ca="1" si="0"/>
        <v>28</v>
      </c>
      <c r="S3">
        <f t="shared" ca="1" si="0"/>
        <v>226</v>
      </c>
      <c r="T3">
        <f t="shared" ca="1" si="0"/>
        <v>69</v>
      </c>
    </row>
    <row r="4" spans="1:21" x14ac:dyDescent="0.25">
      <c r="A4">
        <v>15</v>
      </c>
      <c r="B4">
        <v>5</v>
      </c>
      <c r="C4" s="3">
        <v>42491</v>
      </c>
      <c r="E4" t="s">
        <v>228</v>
      </c>
      <c r="F4" t="s">
        <v>229</v>
      </c>
      <c r="G4">
        <f t="shared" ca="1" si="0"/>
        <v>205</v>
      </c>
      <c r="H4">
        <f t="shared" ca="1" si="0"/>
        <v>266</v>
      </c>
      <c r="I4">
        <f t="shared" ca="1" si="0"/>
        <v>173</v>
      </c>
      <c r="J4">
        <f t="shared" ca="1" si="0"/>
        <v>168</v>
      </c>
      <c r="K4">
        <f t="shared" ca="1" si="0"/>
        <v>41</v>
      </c>
      <c r="L4">
        <f t="shared" ca="1" si="0"/>
        <v>153</v>
      </c>
      <c r="M4">
        <f t="shared" ca="1" si="0"/>
        <v>109</v>
      </c>
      <c r="N4">
        <f t="shared" ca="1" si="0"/>
        <v>206</v>
      </c>
      <c r="O4">
        <f t="shared" ca="1" si="0"/>
        <v>186</v>
      </c>
      <c r="P4">
        <f t="shared" ca="1" si="0"/>
        <v>96</v>
      </c>
      <c r="Q4">
        <f t="shared" ca="1" si="0"/>
        <v>15</v>
      </c>
      <c r="R4">
        <f t="shared" ca="1" si="0"/>
        <v>296</v>
      </c>
      <c r="S4">
        <f t="shared" ca="1" si="0"/>
        <v>97</v>
      </c>
      <c r="T4">
        <f t="shared" ca="1" si="0"/>
        <v>271</v>
      </c>
    </row>
    <row r="5" spans="1:21" x14ac:dyDescent="0.25">
      <c r="A5">
        <v>15</v>
      </c>
      <c r="B5">
        <v>6</v>
      </c>
      <c r="C5" s="3">
        <v>42490</v>
      </c>
      <c r="E5" t="s">
        <v>230</v>
      </c>
      <c r="F5" t="s">
        <v>231</v>
      </c>
      <c r="G5">
        <f t="shared" ca="1" si="0"/>
        <v>127</v>
      </c>
      <c r="H5">
        <f t="shared" ca="1" si="0"/>
        <v>78</v>
      </c>
      <c r="I5">
        <f t="shared" ca="1" si="0"/>
        <v>18</v>
      </c>
      <c r="J5">
        <f t="shared" ca="1" si="0"/>
        <v>5</v>
      </c>
      <c r="K5">
        <f t="shared" ca="1" si="0"/>
        <v>286</v>
      </c>
      <c r="L5">
        <f t="shared" ca="1" si="0"/>
        <v>248</v>
      </c>
      <c r="M5">
        <f t="shared" ca="1" si="0"/>
        <v>35</v>
      </c>
      <c r="N5">
        <f t="shared" ca="1" si="0"/>
        <v>2</v>
      </c>
      <c r="O5">
        <f t="shared" ca="1" si="0"/>
        <v>244</v>
      </c>
      <c r="P5">
        <f t="shared" ca="1" si="0"/>
        <v>235</v>
      </c>
      <c r="Q5">
        <f t="shared" ca="1" si="0"/>
        <v>73</v>
      </c>
      <c r="R5">
        <f t="shared" ca="1" si="0"/>
        <v>132</v>
      </c>
      <c r="S5">
        <f t="shared" ca="1" si="0"/>
        <v>181</v>
      </c>
      <c r="T5">
        <f t="shared" ca="1" si="0"/>
        <v>217</v>
      </c>
    </row>
    <row r="6" spans="1:21" x14ac:dyDescent="0.25">
      <c r="A6">
        <v>15</v>
      </c>
      <c r="B6">
        <v>7</v>
      </c>
      <c r="C6" s="3">
        <v>42489</v>
      </c>
      <c r="E6" t="s">
        <v>232</v>
      </c>
      <c r="F6" t="s">
        <v>233</v>
      </c>
      <c r="G6">
        <f t="shared" ca="1" si="0"/>
        <v>237</v>
      </c>
      <c r="H6">
        <f t="shared" ca="1" si="0"/>
        <v>2</v>
      </c>
      <c r="I6">
        <f t="shared" ca="1" si="0"/>
        <v>37</v>
      </c>
      <c r="J6">
        <f t="shared" ca="1" si="0"/>
        <v>84</v>
      </c>
      <c r="K6">
        <f t="shared" ca="1" si="0"/>
        <v>60</v>
      </c>
      <c r="L6">
        <f t="shared" ca="1" si="0"/>
        <v>76</v>
      </c>
      <c r="M6">
        <f t="shared" ca="1" si="0"/>
        <v>82</v>
      </c>
      <c r="N6">
        <f t="shared" ca="1" si="0"/>
        <v>61</v>
      </c>
      <c r="O6">
        <f t="shared" ca="1" si="0"/>
        <v>237</v>
      </c>
      <c r="P6">
        <f t="shared" ca="1" si="0"/>
        <v>170</v>
      </c>
      <c r="Q6">
        <f t="shared" ca="1" si="0"/>
        <v>253</v>
      </c>
      <c r="R6">
        <f t="shared" ca="1" si="0"/>
        <v>212</v>
      </c>
      <c r="S6">
        <f t="shared" ca="1" si="0"/>
        <v>46</v>
      </c>
      <c r="T6">
        <f t="shared" ca="1" si="0"/>
        <v>130</v>
      </c>
    </row>
    <row r="7" spans="1:21" x14ac:dyDescent="0.25">
      <c r="A7">
        <v>15</v>
      </c>
      <c r="B7">
        <v>8</v>
      </c>
      <c r="C7" s="3">
        <v>42488</v>
      </c>
      <c r="E7" t="str">
        <f ca="1">INDEX(E$3:E$6,RANDBETWEEN(1,4))</f>
        <v>Snack</v>
      </c>
      <c r="F7" t="str">
        <f ca="1">INDEX(F$3:F$6,RANDBETWEEN(1,4))</f>
        <v>Grams</v>
      </c>
      <c r="G7">
        <f ca="1">RANDBETWEEN(0, 300)</f>
        <v>51</v>
      </c>
      <c r="H7">
        <f t="shared" ref="H7:T22" ca="1" si="1">RANDBETWEEN(0, 300)</f>
        <v>123</v>
      </c>
      <c r="I7">
        <f t="shared" ca="1" si="1"/>
        <v>15</v>
      </c>
      <c r="J7">
        <f t="shared" ca="1" si="1"/>
        <v>282</v>
      </c>
      <c r="K7">
        <f t="shared" ca="1" si="1"/>
        <v>63</v>
      </c>
      <c r="L7">
        <f t="shared" ca="1" si="1"/>
        <v>104</v>
      </c>
      <c r="M7">
        <f t="shared" ca="1" si="1"/>
        <v>143</v>
      </c>
      <c r="N7">
        <f t="shared" ca="1" si="1"/>
        <v>204</v>
      </c>
      <c r="O7">
        <f t="shared" ca="1" si="1"/>
        <v>245</v>
      </c>
      <c r="P7">
        <f t="shared" ca="1" si="1"/>
        <v>207</v>
      </c>
      <c r="Q7">
        <f t="shared" ca="1" si="1"/>
        <v>136</v>
      </c>
      <c r="R7">
        <f t="shared" ca="1" si="1"/>
        <v>54</v>
      </c>
      <c r="S7">
        <f ca="1">RANDBETWEEN(0, 300)</f>
        <v>94</v>
      </c>
      <c r="T7">
        <f t="shared" ca="1" si="1"/>
        <v>1</v>
      </c>
    </row>
    <row r="8" spans="1:21" x14ac:dyDescent="0.25">
      <c r="A8">
        <v>15</v>
      </c>
      <c r="B8">
        <v>9</v>
      </c>
      <c r="C8" s="3">
        <v>42487</v>
      </c>
      <c r="E8" t="str">
        <f t="shared" ref="E8:F23" ca="1" si="2">INDEX(E$3:E$6,RANDBETWEEN(1,4))</f>
        <v>Snack</v>
      </c>
      <c r="F8" t="str">
        <f t="shared" ca="1" si="2"/>
        <v>Grams</v>
      </c>
      <c r="G8">
        <f t="shared" ref="G8:T23" ca="1" si="3">RANDBETWEEN(0, 300)</f>
        <v>89</v>
      </c>
      <c r="H8">
        <f t="shared" ca="1" si="1"/>
        <v>297</v>
      </c>
      <c r="I8">
        <f t="shared" ca="1" si="1"/>
        <v>72</v>
      </c>
      <c r="J8">
        <f t="shared" ca="1" si="1"/>
        <v>85</v>
      </c>
      <c r="K8">
        <f t="shared" ca="1" si="1"/>
        <v>253</v>
      </c>
      <c r="L8">
        <f t="shared" ca="1" si="1"/>
        <v>70</v>
      </c>
      <c r="M8">
        <f t="shared" ca="1" si="1"/>
        <v>99</v>
      </c>
      <c r="N8">
        <f t="shared" ca="1" si="1"/>
        <v>279</v>
      </c>
      <c r="O8">
        <f t="shared" ca="1" si="1"/>
        <v>295</v>
      </c>
      <c r="P8">
        <f t="shared" ca="1" si="1"/>
        <v>185</v>
      </c>
      <c r="Q8">
        <f t="shared" ca="1" si="1"/>
        <v>77</v>
      </c>
      <c r="R8">
        <f t="shared" ca="1" si="1"/>
        <v>114</v>
      </c>
      <c r="S8">
        <f t="shared" ca="1" si="1"/>
        <v>126</v>
      </c>
      <c r="T8">
        <f t="shared" ca="1" si="1"/>
        <v>127</v>
      </c>
    </row>
    <row r="9" spans="1:21" x14ac:dyDescent="0.25">
      <c r="A9">
        <v>15</v>
      </c>
      <c r="B9">
        <v>10</v>
      </c>
      <c r="C9" s="3">
        <v>42486</v>
      </c>
      <c r="E9" t="str">
        <f t="shared" ca="1" si="2"/>
        <v>Breakfast</v>
      </c>
      <c r="F9" t="str">
        <f t="shared" ca="1" si="2"/>
        <v>Ounces</v>
      </c>
      <c r="G9">
        <f t="shared" ca="1" si="3"/>
        <v>252</v>
      </c>
      <c r="H9">
        <f t="shared" ca="1" si="1"/>
        <v>236</v>
      </c>
      <c r="I9">
        <f t="shared" ca="1" si="1"/>
        <v>31</v>
      </c>
      <c r="J9">
        <f t="shared" ca="1" si="1"/>
        <v>247</v>
      </c>
      <c r="K9">
        <f t="shared" ca="1" si="1"/>
        <v>280</v>
      </c>
      <c r="L9">
        <f t="shared" ca="1" si="1"/>
        <v>209</v>
      </c>
      <c r="M9">
        <f t="shared" ca="1" si="1"/>
        <v>9</v>
      </c>
      <c r="N9">
        <f t="shared" ca="1" si="1"/>
        <v>90</v>
      </c>
      <c r="O9">
        <f t="shared" ca="1" si="1"/>
        <v>236</v>
      </c>
      <c r="P9">
        <f t="shared" ca="1" si="1"/>
        <v>47</v>
      </c>
      <c r="Q9">
        <f t="shared" ca="1" si="1"/>
        <v>179</v>
      </c>
      <c r="R9">
        <f t="shared" ca="1" si="1"/>
        <v>95</v>
      </c>
      <c r="S9">
        <f t="shared" ca="1" si="1"/>
        <v>67</v>
      </c>
      <c r="T9">
        <f t="shared" ca="1" si="1"/>
        <v>71</v>
      </c>
    </row>
    <row r="10" spans="1:21" x14ac:dyDescent="0.25">
      <c r="A10">
        <v>15</v>
      </c>
      <c r="B10">
        <v>11</v>
      </c>
      <c r="C10" s="3">
        <v>42485</v>
      </c>
      <c r="E10" t="str">
        <f t="shared" ca="1" si="2"/>
        <v>Dinner</v>
      </c>
      <c r="F10" t="str">
        <f t="shared" ca="1" si="2"/>
        <v>Tablespoons</v>
      </c>
      <c r="G10">
        <f t="shared" ca="1" si="3"/>
        <v>35</v>
      </c>
      <c r="H10">
        <f t="shared" ca="1" si="1"/>
        <v>6</v>
      </c>
      <c r="I10">
        <f t="shared" ca="1" si="1"/>
        <v>171</v>
      </c>
      <c r="J10">
        <f t="shared" ca="1" si="1"/>
        <v>137</v>
      </c>
      <c r="K10">
        <f t="shared" ca="1" si="1"/>
        <v>175</v>
      </c>
      <c r="L10">
        <f t="shared" ca="1" si="1"/>
        <v>51</v>
      </c>
      <c r="M10">
        <f t="shared" ca="1" si="1"/>
        <v>122</v>
      </c>
      <c r="N10">
        <f t="shared" ca="1" si="1"/>
        <v>273</v>
      </c>
      <c r="O10">
        <f t="shared" ca="1" si="1"/>
        <v>239</v>
      </c>
      <c r="P10">
        <f t="shared" ca="1" si="1"/>
        <v>173</v>
      </c>
      <c r="Q10">
        <f t="shared" ca="1" si="1"/>
        <v>196</v>
      </c>
      <c r="R10">
        <f t="shared" ca="1" si="1"/>
        <v>175</v>
      </c>
      <c r="S10">
        <f t="shared" ca="1" si="1"/>
        <v>167</v>
      </c>
      <c r="T10">
        <f t="shared" ca="1" si="1"/>
        <v>15</v>
      </c>
    </row>
    <row r="11" spans="1:21" x14ac:dyDescent="0.25">
      <c r="A11">
        <v>15</v>
      </c>
      <c r="B11">
        <v>12</v>
      </c>
      <c r="C11" s="3">
        <v>42484</v>
      </c>
      <c r="E11" t="str">
        <f t="shared" ca="1" si="2"/>
        <v>Snack</v>
      </c>
      <c r="F11" t="str">
        <f t="shared" ca="1" si="2"/>
        <v>Tablespoons</v>
      </c>
      <c r="G11">
        <f t="shared" ca="1" si="3"/>
        <v>109</v>
      </c>
      <c r="H11">
        <f t="shared" ca="1" si="1"/>
        <v>40</v>
      </c>
      <c r="I11">
        <f t="shared" ca="1" si="1"/>
        <v>159</v>
      </c>
      <c r="J11">
        <f t="shared" ca="1" si="1"/>
        <v>194</v>
      </c>
      <c r="K11">
        <f t="shared" ca="1" si="1"/>
        <v>96</v>
      </c>
      <c r="L11">
        <f t="shared" ca="1" si="1"/>
        <v>126</v>
      </c>
      <c r="M11">
        <f t="shared" ca="1" si="1"/>
        <v>88</v>
      </c>
      <c r="N11">
        <f t="shared" ca="1" si="1"/>
        <v>193</v>
      </c>
      <c r="O11">
        <f t="shared" ca="1" si="1"/>
        <v>111</v>
      </c>
      <c r="P11">
        <f t="shared" ca="1" si="1"/>
        <v>146</v>
      </c>
      <c r="Q11">
        <f t="shared" ca="1" si="1"/>
        <v>226</v>
      </c>
      <c r="R11">
        <f t="shared" ca="1" si="1"/>
        <v>120</v>
      </c>
      <c r="S11">
        <f t="shared" ca="1" si="1"/>
        <v>199</v>
      </c>
      <c r="T11">
        <f t="shared" ca="1" si="1"/>
        <v>152</v>
      </c>
    </row>
    <row r="12" spans="1:21" x14ac:dyDescent="0.25">
      <c r="A12">
        <v>15</v>
      </c>
      <c r="B12">
        <v>13</v>
      </c>
      <c r="C12" s="3">
        <v>42483</v>
      </c>
      <c r="E12" t="str">
        <f t="shared" ca="1" si="2"/>
        <v>Lunch</v>
      </c>
      <c r="F12" t="str">
        <f t="shared" ca="1" si="2"/>
        <v>Ounces</v>
      </c>
      <c r="G12">
        <f t="shared" ca="1" si="3"/>
        <v>209</v>
      </c>
      <c r="H12">
        <f t="shared" ca="1" si="1"/>
        <v>176</v>
      </c>
      <c r="I12">
        <f t="shared" ca="1" si="1"/>
        <v>111</v>
      </c>
      <c r="J12">
        <f t="shared" ca="1" si="1"/>
        <v>84</v>
      </c>
      <c r="K12">
        <f t="shared" ca="1" si="1"/>
        <v>275</v>
      </c>
      <c r="L12">
        <f t="shared" ca="1" si="1"/>
        <v>78</v>
      </c>
      <c r="M12">
        <f t="shared" ca="1" si="1"/>
        <v>261</v>
      </c>
      <c r="N12">
        <f t="shared" ca="1" si="1"/>
        <v>35</v>
      </c>
      <c r="O12">
        <f t="shared" ca="1" si="1"/>
        <v>117</v>
      </c>
      <c r="P12">
        <f t="shared" ca="1" si="1"/>
        <v>284</v>
      </c>
      <c r="Q12">
        <f t="shared" ca="1" si="1"/>
        <v>37</v>
      </c>
      <c r="R12">
        <f t="shared" ca="1" si="1"/>
        <v>212</v>
      </c>
      <c r="S12">
        <f t="shared" ca="1" si="1"/>
        <v>0</v>
      </c>
      <c r="T12">
        <f t="shared" ca="1" si="1"/>
        <v>287</v>
      </c>
    </row>
    <row r="13" spans="1:21" x14ac:dyDescent="0.25">
      <c r="A13">
        <v>15</v>
      </c>
      <c r="B13">
        <v>14</v>
      </c>
      <c r="C13" s="3">
        <v>42482</v>
      </c>
      <c r="E13" t="str">
        <f t="shared" ca="1" si="2"/>
        <v>Dinner</v>
      </c>
      <c r="F13" t="str">
        <f t="shared" ca="1" si="2"/>
        <v>Cups</v>
      </c>
      <c r="G13">
        <f t="shared" ca="1" si="3"/>
        <v>219</v>
      </c>
      <c r="H13">
        <f t="shared" ca="1" si="1"/>
        <v>250</v>
      </c>
      <c r="I13">
        <f t="shared" ca="1" si="1"/>
        <v>258</v>
      </c>
      <c r="J13">
        <f t="shared" ca="1" si="1"/>
        <v>130</v>
      </c>
      <c r="K13">
        <f t="shared" ca="1" si="1"/>
        <v>161</v>
      </c>
      <c r="L13">
        <f t="shared" ca="1" si="1"/>
        <v>143</v>
      </c>
      <c r="M13">
        <f t="shared" ca="1" si="1"/>
        <v>52</v>
      </c>
      <c r="N13">
        <f t="shared" ca="1" si="1"/>
        <v>109</v>
      </c>
      <c r="O13">
        <f t="shared" ca="1" si="1"/>
        <v>53</v>
      </c>
      <c r="P13">
        <f t="shared" ca="1" si="1"/>
        <v>83</v>
      </c>
      <c r="Q13">
        <f t="shared" ca="1" si="1"/>
        <v>153</v>
      </c>
      <c r="R13">
        <f t="shared" ca="1" si="1"/>
        <v>52</v>
      </c>
      <c r="S13">
        <f t="shared" ca="1" si="1"/>
        <v>70</v>
      </c>
      <c r="T13">
        <f t="shared" ca="1" si="1"/>
        <v>288</v>
      </c>
    </row>
    <row r="14" spans="1:21" x14ac:dyDescent="0.25">
      <c r="A14">
        <v>15</v>
      </c>
      <c r="B14">
        <v>15</v>
      </c>
      <c r="C14" s="3">
        <v>42481</v>
      </c>
      <c r="E14" t="str">
        <f t="shared" ca="1" si="2"/>
        <v>Lunch</v>
      </c>
      <c r="F14" t="str">
        <f t="shared" ca="1" si="2"/>
        <v>Grams</v>
      </c>
      <c r="G14">
        <f t="shared" ca="1" si="3"/>
        <v>233</v>
      </c>
      <c r="H14">
        <f t="shared" ca="1" si="1"/>
        <v>151</v>
      </c>
      <c r="I14">
        <f t="shared" ca="1" si="1"/>
        <v>10</v>
      </c>
      <c r="J14">
        <f t="shared" ca="1" si="1"/>
        <v>169</v>
      </c>
      <c r="K14">
        <f t="shared" ca="1" si="1"/>
        <v>98</v>
      </c>
      <c r="L14">
        <f t="shared" ca="1" si="1"/>
        <v>56</v>
      </c>
      <c r="M14">
        <f t="shared" ca="1" si="1"/>
        <v>262</v>
      </c>
      <c r="N14">
        <f t="shared" ca="1" si="1"/>
        <v>60</v>
      </c>
      <c r="O14">
        <f t="shared" ca="1" si="1"/>
        <v>194</v>
      </c>
      <c r="P14">
        <f t="shared" ca="1" si="1"/>
        <v>292</v>
      </c>
      <c r="Q14">
        <f t="shared" ca="1" si="1"/>
        <v>240</v>
      </c>
      <c r="R14">
        <f t="shared" ca="1" si="1"/>
        <v>39</v>
      </c>
      <c r="S14">
        <f t="shared" ca="1" si="1"/>
        <v>173</v>
      </c>
      <c r="T14">
        <f t="shared" ca="1" si="1"/>
        <v>266</v>
      </c>
    </row>
    <row r="15" spans="1:21" x14ac:dyDescent="0.25">
      <c r="A15">
        <v>15</v>
      </c>
      <c r="B15">
        <v>16</v>
      </c>
      <c r="C15" s="3">
        <v>42480</v>
      </c>
      <c r="E15" t="str">
        <f t="shared" ca="1" si="2"/>
        <v>Dinner</v>
      </c>
      <c r="F15" t="str">
        <f t="shared" ca="1" si="2"/>
        <v>Cups</v>
      </c>
      <c r="G15">
        <f t="shared" ca="1" si="3"/>
        <v>48</v>
      </c>
      <c r="H15">
        <f t="shared" ca="1" si="1"/>
        <v>280</v>
      </c>
      <c r="I15">
        <f t="shared" ca="1" si="1"/>
        <v>233</v>
      </c>
      <c r="J15">
        <f t="shared" ca="1" si="1"/>
        <v>33</v>
      </c>
      <c r="K15">
        <f t="shared" ca="1" si="1"/>
        <v>29</v>
      </c>
      <c r="L15">
        <f t="shared" ca="1" si="1"/>
        <v>120</v>
      </c>
      <c r="M15">
        <f t="shared" ca="1" si="1"/>
        <v>40</v>
      </c>
      <c r="N15">
        <f t="shared" ca="1" si="1"/>
        <v>112</v>
      </c>
      <c r="O15">
        <f t="shared" ca="1" si="1"/>
        <v>219</v>
      </c>
      <c r="P15">
        <f t="shared" ca="1" si="1"/>
        <v>243</v>
      </c>
      <c r="Q15">
        <f t="shared" ca="1" si="1"/>
        <v>183</v>
      </c>
      <c r="R15">
        <f t="shared" ca="1" si="1"/>
        <v>39</v>
      </c>
      <c r="S15">
        <f t="shared" ca="1" si="1"/>
        <v>236</v>
      </c>
      <c r="T15">
        <f t="shared" ca="1" si="1"/>
        <v>21</v>
      </c>
    </row>
    <row r="16" spans="1:21" x14ac:dyDescent="0.25">
      <c r="A16">
        <v>15</v>
      </c>
      <c r="B16">
        <v>17</v>
      </c>
      <c r="C16" s="3">
        <v>42479</v>
      </c>
      <c r="E16" t="str">
        <f t="shared" ca="1" si="2"/>
        <v>Dinner</v>
      </c>
      <c r="F16" t="str">
        <f t="shared" ca="1" si="2"/>
        <v>Ounces</v>
      </c>
      <c r="G16">
        <f t="shared" ca="1" si="3"/>
        <v>112</v>
      </c>
      <c r="H16">
        <f t="shared" ca="1" si="1"/>
        <v>143</v>
      </c>
      <c r="I16">
        <f t="shared" ca="1" si="1"/>
        <v>283</v>
      </c>
      <c r="J16">
        <f t="shared" ca="1" si="1"/>
        <v>289</v>
      </c>
      <c r="K16">
        <f t="shared" ca="1" si="1"/>
        <v>136</v>
      </c>
      <c r="L16">
        <f t="shared" ca="1" si="1"/>
        <v>169</v>
      </c>
      <c r="M16">
        <f t="shared" ca="1" si="1"/>
        <v>261</v>
      </c>
      <c r="N16">
        <f t="shared" ca="1" si="1"/>
        <v>90</v>
      </c>
      <c r="O16">
        <f t="shared" ca="1" si="1"/>
        <v>114</v>
      </c>
      <c r="P16">
        <f t="shared" ca="1" si="1"/>
        <v>109</v>
      </c>
      <c r="Q16">
        <f t="shared" ca="1" si="1"/>
        <v>270</v>
      </c>
      <c r="R16">
        <f t="shared" ca="1" si="1"/>
        <v>89</v>
      </c>
      <c r="S16">
        <f t="shared" ca="1" si="1"/>
        <v>221</v>
      </c>
      <c r="T16">
        <f t="shared" ca="1" si="1"/>
        <v>121</v>
      </c>
    </row>
    <row r="17" spans="1:20" x14ac:dyDescent="0.25">
      <c r="A17">
        <v>15</v>
      </c>
      <c r="B17">
        <v>18</v>
      </c>
      <c r="C17" s="3">
        <v>42478</v>
      </c>
      <c r="E17" t="str">
        <f t="shared" ca="1" si="2"/>
        <v>Lunch</v>
      </c>
      <c r="F17" t="str">
        <f t="shared" ca="1" si="2"/>
        <v>Tablespoons</v>
      </c>
      <c r="G17">
        <f t="shared" ca="1" si="3"/>
        <v>265</v>
      </c>
      <c r="H17">
        <f t="shared" ca="1" si="1"/>
        <v>87</v>
      </c>
      <c r="I17">
        <f t="shared" ca="1" si="1"/>
        <v>175</v>
      </c>
      <c r="J17">
        <f t="shared" ca="1" si="1"/>
        <v>275</v>
      </c>
      <c r="K17">
        <f t="shared" ca="1" si="1"/>
        <v>68</v>
      </c>
      <c r="L17">
        <f t="shared" ca="1" si="1"/>
        <v>98</v>
      </c>
      <c r="M17">
        <f t="shared" ca="1" si="1"/>
        <v>282</v>
      </c>
      <c r="N17">
        <f t="shared" ca="1" si="1"/>
        <v>78</v>
      </c>
      <c r="O17">
        <f t="shared" ca="1" si="1"/>
        <v>145</v>
      </c>
      <c r="P17">
        <f t="shared" ca="1" si="1"/>
        <v>172</v>
      </c>
      <c r="Q17">
        <f t="shared" ca="1" si="1"/>
        <v>4</v>
      </c>
      <c r="R17">
        <f t="shared" ca="1" si="1"/>
        <v>190</v>
      </c>
      <c r="S17">
        <f t="shared" ca="1" si="1"/>
        <v>35</v>
      </c>
      <c r="T17">
        <f t="shared" ca="1" si="1"/>
        <v>194</v>
      </c>
    </row>
    <row r="18" spans="1:20" x14ac:dyDescent="0.25">
      <c r="A18">
        <v>15</v>
      </c>
      <c r="B18">
        <v>19</v>
      </c>
      <c r="C18" s="3">
        <v>42477</v>
      </c>
      <c r="E18" t="str">
        <f t="shared" ca="1" si="2"/>
        <v>Snack</v>
      </c>
      <c r="F18" t="str">
        <f t="shared" ca="1" si="2"/>
        <v>Cups</v>
      </c>
      <c r="G18">
        <f t="shared" ca="1" si="3"/>
        <v>227</v>
      </c>
      <c r="H18">
        <f t="shared" ca="1" si="1"/>
        <v>271</v>
      </c>
      <c r="I18">
        <f t="shared" ca="1" si="1"/>
        <v>227</v>
      </c>
      <c r="J18">
        <f t="shared" ca="1" si="1"/>
        <v>47</v>
      </c>
      <c r="K18">
        <f t="shared" ca="1" si="1"/>
        <v>34</v>
      </c>
      <c r="L18">
        <f t="shared" ca="1" si="1"/>
        <v>165</v>
      </c>
      <c r="M18">
        <f t="shared" ca="1" si="1"/>
        <v>87</v>
      </c>
      <c r="N18">
        <f t="shared" ca="1" si="1"/>
        <v>22</v>
      </c>
      <c r="O18">
        <f t="shared" ca="1" si="1"/>
        <v>283</v>
      </c>
      <c r="P18">
        <f t="shared" ca="1" si="1"/>
        <v>220</v>
      </c>
      <c r="Q18">
        <f t="shared" ca="1" si="1"/>
        <v>226</v>
      </c>
      <c r="R18">
        <f t="shared" ca="1" si="1"/>
        <v>192</v>
      </c>
      <c r="S18">
        <f t="shared" ca="1" si="1"/>
        <v>243</v>
      </c>
      <c r="T18">
        <f t="shared" ca="1" si="1"/>
        <v>241</v>
      </c>
    </row>
    <row r="19" spans="1:20" x14ac:dyDescent="0.25">
      <c r="A19">
        <v>15</v>
      </c>
      <c r="B19">
        <v>20</v>
      </c>
      <c r="C19" s="3">
        <v>42476</v>
      </c>
      <c r="E19" t="str">
        <f t="shared" ca="1" si="2"/>
        <v>Lunch</v>
      </c>
      <c r="F19" t="str">
        <f t="shared" ca="1" si="2"/>
        <v>Grams</v>
      </c>
      <c r="G19">
        <f t="shared" ca="1" si="3"/>
        <v>26</v>
      </c>
      <c r="H19">
        <f t="shared" ca="1" si="1"/>
        <v>234</v>
      </c>
      <c r="I19">
        <f t="shared" ca="1" si="1"/>
        <v>269</v>
      </c>
      <c r="J19">
        <f t="shared" ca="1" si="1"/>
        <v>298</v>
      </c>
      <c r="K19">
        <f t="shared" ca="1" si="1"/>
        <v>151</v>
      </c>
      <c r="L19">
        <f t="shared" ca="1" si="1"/>
        <v>136</v>
      </c>
      <c r="M19">
        <f t="shared" ca="1" si="1"/>
        <v>215</v>
      </c>
      <c r="N19">
        <f t="shared" ca="1" si="1"/>
        <v>26</v>
      </c>
      <c r="O19">
        <f t="shared" ca="1" si="1"/>
        <v>247</v>
      </c>
      <c r="P19">
        <f t="shared" ca="1" si="1"/>
        <v>190</v>
      </c>
      <c r="Q19">
        <f t="shared" ca="1" si="1"/>
        <v>75</v>
      </c>
      <c r="R19">
        <f t="shared" ca="1" si="1"/>
        <v>279</v>
      </c>
      <c r="S19">
        <f t="shared" ca="1" si="1"/>
        <v>268</v>
      </c>
      <c r="T19">
        <f t="shared" ca="1" si="1"/>
        <v>8</v>
      </c>
    </row>
    <row r="20" spans="1:20" x14ac:dyDescent="0.25">
      <c r="A20">
        <v>15</v>
      </c>
      <c r="B20">
        <v>21</v>
      </c>
      <c r="C20" s="3">
        <v>42475</v>
      </c>
      <c r="E20" t="str">
        <f t="shared" ca="1" si="2"/>
        <v>Snack</v>
      </c>
      <c r="F20" t="str">
        <f t="shared" ca="1" si="2"/>
        <v>Grams</v>
      </c>
      <c r="G20">
        <f t="shared" ca="1" si="3"/>
        <v>261</v>
      </c>
      <c r="H20">
        <f t="shared" ca="1" si="1"/>
        <v>117</v>
      </c>
      <c r="I20">
        <f t="shared" ca="1" si="1"/>
        <v>0</v>
      </c>
      <c r="J20">
        <f t="shared" ca="1" si="1"/>
        <v>186</v>
      </c>
      <c r="K20">
        <f t="shared" ca="1" si="1"/>
        <v>97</v>
      </c>
      <c r="L20">
        <f t="shared" ca="1" si="1"/>
        <v>47</v>
      </c>
      <c r="M20">
        <f t="shared" ca="1" si="1"/>
        <v>24</v>
      </c>
      <c r="N20">
        <f t="shared" ca="1" si="1"/>
        <v>111</v>
      </c>
      <c r="O20">
        <f t="shared" ca="1" si="1"/>
        <v>78</v>
      </c>
      <c r="P20">
        <f t="shared" ca="1" si="1"/>
        <v>118</v>
      </c>
      <c r="Q20">
        <f t="shared" ca="1" si="1"/>
        <v>134</v>
      </c>
      <c r="R20">
        <f t="shared" ca="1" si="1"/>
        <v>180</v>
      </c>
      <c r="S20">
        <f t="shared" ca="1" si="1"/>
        <v>264</v>
      </c>
      <c r="T20">
        <f t="shared" ca="1" si="1"/>
        <v>3</v>
      </c>
    </row>
    <row r="21" spans="1:20" x14ac:dyDescent="0.25">
      <c r="A21">
        <v>15</v>
      </c>
      <c r="B21">
        <v>22</v>
      </c>
      <c r="C21" s="3">
        <v>42474</v>
      </c>
      <c r="E21" t="str">
        <f t="shared" ca="1" si="2"/>
        <v>Snack</v>
      </c>
      <c r="F21" t="str">
        <f t="shared" ca="1" si="2"/>
        <v>Tablespoons</v>
      </c>
      <c r="G21">
        <f t="shared" ca="1" si="3"/>
        <v>91</v>
      </c>
      <c r="H21">
        <f t="shared" ca="1" si="1"/>
        <v>35</v>
      </c>
      <c r="I21">
        <f t="shared" ca="1" si="1"/>
        <v>119</v>
      </c>
      <c r="J21">
        <f t="shared" ca="1" si="1"/>
        <v>118</v>
      </c>
      <c r="K21">
        <f t="shared" ca="1" si="1"/>
        <v>184</v>
      </c>
      <c r="L21">
        <f t="shared" ca="1" si="1"/>
        <v>164</v>
      </c>
      <c r="M21">
        <f t="shared" ca="1" si="1"/>
        <v>132</v>
      </c>
      <c r="N21">
        <f t="shared" ca="1" si="1"/>
        <v>11</v>
      </c>
      <c r="O21">
        <f t="shared" ca="1" si="1"/>
        <v>72</v>
      </c>
      <c r="P21">
        <f t="shared" ca="1" si="1"/>
        <v>130</v>
      </c>
      <c r="Q21">
        <f t="shared" ca="1" si="1"/>
        <v>134</v>
      </c>
      <c r="R21">
        <f t="shared" ca="1" si="1"/>
        <v>300</v>
      </c>
      <c r="S21">
        <f t="shared" ca="1" si="1"/>
        <v>47</v>
      </c>
      <c r="T21">
        <f t="shared" ca="1" si="1"/>
        <v>19</v>
      </c>
    </row>
    <row r="22" spans="1:20" x14ac:dyDescent="0.25">
      <c r="A22">
        <v>15</v>
      </c>
      <c r="B22">
        <v>23</v>
      </c>
      <c r="C22" s="3">
        <v>42473</v>
      </c>
      <c r="E22" t="str">
        <f ca="1">INDEX(E$3:E$6,RANDBETWEEN(1,4))</f>
        <v>Breakfast</v>
      </c>
      <c r="F22" t="str">
        <f ca="1">INDEX(F$3:F$6,RANDBETWEEN(1,4))</f>
        <v>Ounces</v>
      </c>
      <c r="G22">
        <f ca="1">RANDBETWEEN(0, 300)</f>
        <v>287</v>
      </c>
      <c r="H22">
        <f t="shared" ca="1" si="1"/>
        <v>41</v>
      </c>
      <c r="I22">
        <f t="shared" ca="1" si="1"/>
        <v>207</v>
      </c>
      <c r="J22">
        <f t="shared" ca="1" si="1"/>
        <v>223</v>
      </c>
      <c r="K22">
        <f t="shared" ca="1" si="1"/>
        <v>91</v>
      </c>
      <c r="L22">
        <f t="shared" ca="1" si="1"/>
        <v>284</v>
      </c>
      <c r="M22">
        <f t="shared" ca="1" si="1"/>
        <v>158</v>
      </c>
      <c r="N22">
        <f t="shared" ca="1" si="1"/>
        <v>126</v>
      </c>
      <c r="O22">
        <f t="shared" ca="1" si="1"/>
        <v>92</v>
      </c>
      <c r="P22">
        <f t="shared" ca="1" si="1"/>
        <v>85</v>
      </c>
      <c r="Q22">
        <f t="shared" ca="1" si="1"/>
        <v>68</v>
      </c>
      <c r="R22">
        <f t="shared" ca="1" si="1"/>
        <v>120</v>
      </c>
      <c r="S22">
        <f ca="1">RANDBETWEEN(0, 300)</f>
        <v>74</v>
      </c>
      <c r="T22">
        <f t="shared" ca="1" si="1"/>
        <v>175</v>
      </c>
    </row>
    <row r="23" spans="1:20" x14ac:dyDescent="0.25">
      <c r="A23">
        <v>15</v>
      </c>
      <c r="B23">
        <v>24</v>
      </c>
      <c r="C23" s="3">
        <v>42472</v>
      </c>
      <c r="E23" t="str">
        <f t="shared" ca="1" si="2"/>
        <v>Dinner</v>
      </c>
      <c r="F23" t="str">
        <f t="shared" ca="1" si="2"/>
        <v>Tablespoons</v>
      </c>
      <c r="G23">
        <f t="shared" ca="1" si="3"/>
        <v>86</v>
      </c>
      <c r="H23">
        <f t="shared" ca="1" si="3"/>
        <v>82</v>
      </c>
      <c r="I23">
        <f t="shared" ca="1" si="3"/>
        <v>124</v>
      </c>
      <c r="J23">
        <f t="shared" ca="1" si="3"/>
        <v>271</v>
      </c>
      <c r="K23">
        <f t="shared" ca="1" si="3"/>
        <v>52</v>
      </c>
      <c r="L23">
        <f t="shared" ca="1" si="3"/>
        <v>260</v>
      </c>
      <c r="M23">
        <f t="shared" ca="1" si="3"/>
        <v>292</v>
      </c>
      <c r="N23">
        <f t="shared" ca="1" si="3"/>
        <v>42</v>
      </c>
      <c r="O23">
        <f t="shared" ca="1" si="3"/>
        <v>3</v>
      </c>
      <c r="P23">
        <f t="shared" ca="1" si="3"/>
        <v>210</v>
      </c>
      <c r="Q23">
        <f t="shared" ca="1" si="3"/>
        <v>86</v>
      </c>
      <c r="R23">
        <f t="shared" ca="1" si="3"/>
        <v>252</v>
      </c>
      <c r="S23">
        <f t="shared" ca="1" si="3"/>
        <v>233</v>
      </c>
      <c r="T23">
        <f t="shared" ca="1" si="3"/>
        <v>295</v>
      </c>
    </row>
    <row r="24" spans="1:20" x14ac:dyDescent="0.25">
      <c r="A24">
        <v>15</v>
      </c>
      <c r="B24">
        <v>25</v>
      </c>
      <c r="C24" s="3">
        <v>42471</v>
      </c>
      <c r="E24" t="str">
        <f t="shared" ref="E24:F29" ca="1" si="4">INDEX(E$3:E$6,RANDBETWEEN(1,4))</f>
        <v>Lunch</v>
      </c>
      <c r="F24" t="str">
        <f t="shared" ca="1" si="4"/>
        <v>Ounces</v>
      </c>
      <c r="G24">
        <f t="shared" ref="G24:T39" ca="1" si="5">RANDBETWEEN(0, 300)</f>
        <v>99</v>
      </c>
      <c r="H24">
        <f t="shared" ca="1" si="5"/>
        <v>239</v>
      </c>
      <c r="I24">
        <f t="shared" ca="1" si="5"/>
        <v>287</v>
      </c>
      <c r="J24">
        <f t="shared" ca="1" si="5"/>
        <v>6</v>
      </c>
      <c r="K24">
        <f t="shared" ca="1" si="5"/>
        <v>57</v>
      </c>
      <c r="L24">
        <f t="shared" ca="1" si="5"/>
        <v>86</v>
      </c>
      <c r="M24">
        <f t="shared" ca="1" si="5"/>
        <v>204</v>
      </c>
      <c r="N24">
        <f t="shared" ca="1" si="5"/>
        <v>243</v>
      </c>
      <c r="O24">
        <f t="shared" ca="1" si="5"/>
        <v>104</v>
      </c>
      <c r="P24">
        <f t="shared" ca="1" si="5"/>
        <v>84</v>
      </c>
      <c r="Q24">
        <f t="shared" ca="1" si="5"/>
        <v>122</v>
      </c>
      <c r="R24">
        <f t="shared" ca="1" si="5"/>
        <v>168</v>
      </c>
      <c r="S24">
        <f t="shared" ca="1" si="5"/>
        <v>259</v>
      </c>
      <c r="T24">
        <f t="shared" ca="1" si="5"/>
        <v>244</v>
      </c>
    </row>
    <row r="25" spans="1:20" x14ac:dyDescent="0.25">
      <c r="A25">
        <v>15</v>
      </c>
      <c r="B25">
        <v>26</v>
      </c>
      <c r="C25" s="3">
        <v>42470</v>
      </c>
      <c r="E25" t="str">
        <f t="shared" ca="1" si="4"/>
        <v>Breakfast</v>
      </c>
      <c r="F25" t="str">
        <f t="shared" ca="1" si="4"/>
        <v>Tablespoons</v>
      </c>
      <c r="G25">
        <f t="shared" ca="1" si="5"/>
        <v>102</v>
      </c>
      <c r="H25">
        <f t="shared" ca="1" si="5"/>
        <v>231</v>
      </c>
      <c r="I25">
        <f t="shared" ca="1" si="5"/>
        <v>56</v>
      </c>
      <c r="J25">
        <f t="shared" ca="1" si="5"/>
        <v>298</v>
      </c>
      <c r="K25">
        <f t="shared" ca="1" si="5"/>
        <v>75</v>
      </c>
      <c r="L25">
        <f t="shared" ca="1" si="5"/>
        <v>130</v>
      </c>
      <c r="M25">
        <f t="shared" ca="1" si="5"/>
        <v>170</v>
      </c>
      <c r="N25">
        <f t="shared" ca="1" si="5"/>
        <v>166</v>
      </c>
      <c r="O25">
        <f t="shared" ca="1" si="5"/>
        <v>293</v>
      </c>
      <c r="P25">
        <f t="shared" ca="1" si="5"/>
        <v>64</v>
      </c>
      <c r="Q25">
        <f t="shared" ca="1" si="5"/>
        <v>268</v>
      </c>
      <c r="R25">
        <f t="shared" ca="1" si="5"/>
        <v>49</v>
      </c>
      <c r="S25">
        <f t="shared" ca="1" si="5"/>
        <v>265</v>
      </c>
      <c r="T25">
        <f t="shared" ca="1" si="5"/>
        <v>136</v>
      </c>
    </row>
    <row r="26" spans="1:20" x14ac:dyDescent="0.25">
      <c r="A26">
        <v>15</v>
      </c>
      <c r="B26">
        <v>27</v>
      </c>
      <c r="C26" s="3">
        <v>42469</v>
      </c>
      <c r="E26" t="str">
        <f t="shared" ca="1" si="4"/>
        <v>Snack</v>
      </c>
      <c r="F26" t="str">
        <f t="shared" ca="1" si="4"/>
        <v>Tablespoons</v>
      </c>
      <c r="G26">
        <f t="shared" ca="1" si="5"/>
        <v>50</v>
      </c>
      <c r="H26">
        <f t="shared" ca="1" si="5"/>
        <v>15</v>
      </c>
      <c r="I26">
        <f t="shared" ca="1" si="5"/>
        <v>206</v>
      </c>
      <c r="J26">
        <f t="shared" ca="1" si="5"/>
        <v>87</v>
      </c>
      <c r="K26">
        <f t="shared" ca="1" si="5"/>
        <v>5</v>
      </c>
      <c r="L26">
        <f t="shared" ca="1" si="5"/>
        <v>204</v>
      </c>
      <c r="M26">
        <f t="shared" ca="1" si="5"/>
        <v>218</v>
      </c>
      <c r="N26">
        <f t="shared" ca="1" si="5"/>
        <v>192</v>
      </c>
      <c r="O26">
        <f t="shared" ca="1" si="5"/>
        <v>208</v>
      </c>
      <c r="P26">
        <f t="shared" ca="1" si="5"/>
        <v>12</v>
      </c>
      <c r="Q26">
        <f t="shared" ca="1" si="5"/>
        <v>166</v>
      </c>
      <c r="R26">
        <f t="shared" ca="1" si="5"/>
        <v>11</v>
      </c>
      <c r="S26">
        <f t="shared" ca="1" si="5"/>
        <v>170</v>
      </c>
      <c r="T26">
        <f t="shared" ca="1" si="5"/>
        <v>234</v>
      </c>
    </row>
    <row r="27" spans="1:20" x14ac:dyDescent="0.25">
      <c r="A27">
        <v>15</v>
      </c>
      <c r="B27">
        <v>28</v>
      </c>
      <c r="C27" s="3">
        <v>42468</v>
      </c>
      <c r="E27" t="str">
        <f t="shared" ca="1" si="4"/>
        <v>Snack</v>
      </c>
      <c r="F27" t="str">
        <f t="shared" ca="1" si="4"/>
        <v>Tablespoons</v>
      </c>
      <c r="G27">
        <f t="shared" ca="1" si="5"/>
        <v>48</v>
      </c>
      <c r="H27">
        <f t="shared" ca="1" si="5"/>
        <v>79</v>
      </c>
      <c r="I27">
        <f t="shared" ca="1" si="5"/>
        <v>299</v>
      </c>
      <c r="J27">
        <f t="shared" ca="1" si="5"/>
        <v>38</v>
      </c>
      <c r="K27">
        <f t="shared" ca="1" si="5"/>
        <v>135</v>
      </c>
      <c r="L27">
        <f t="shared" ca="1" si="5"/>
        <v>20</v>
      </c>
      <c r="M27">
        <f t="shared" ca="1" si="5"/>
        <v>138</v>
      </c>
      <c r="N27">
        <f t="shared" ca="1" si="5"/>
        <v>290</v>
      </c>
      <c r="O27">
        <f t="shared" ca="1" si="5"/>
        <v>293</v>
      </c>
      <c r="P27">
        <f t="shared" ca="1" si="5"/>
        <v>115</v>
      </c>
      <c r="Q27">
        <f t="shared" ca="1" si="5"/>
        <v>35</v>
      </c>
      <c r="R27">
        <f t="shared" ca="1" si="5"/>
        <v>87</v>
      </c>
      <c r="S27">
        <f t="shared" ca="1" si="5"/>
        <v>107</v>
      </c>
      <c r="T27">
        <f t="shared" ca="1" si="5"/>
        <v>220</v>
      </c>
    </row>
    <row r="28" spans="1:20" x14ac:dyDescent="0.25">
      <c r="A28">
        <v>15</v>
      </c>
      <c r="B28">
        <v>29</v>
      </c>
      <c r="C28" s="3">
        <v>42467</v>
      </c>
      <c r="E28" t="str">
        <f t="shared" ca="1" si="4"/>
        <v>Breakfast</v>
      </c>
      <c r="F28" t="str">
        <f t="shared" ca="1" si="4"/>
        <v>Ounces</v>
      </c>
      <c r="G28">
        <f t="shared" ca="1" si="5"/>
        <v>181</v>
      </c>
      <c r="H28">
        <f t="shared" ca="1" si="5"/>
        <v>146</v>
      </c>
      <c r="I28">
        <f t="shared" ca="1" si="5"/>
        <v>155</v>
      </c>
      <c r="J28">
        <f t="shared" ca="1" si="5"/>
        <v>154</v>
      </c>
      <c r="K28">
        <f t="shared" ca="1" si="5"/>
        <v>133</v>
      </c>
      <c r="L28">
        <f t="shared" ca="1" si="5"/>
        <v>77</v>
      </c>
      <c r="M28">
        <f t="shared" ca="1" si="5"/>
        <v>198</v>
      </c>
      <c r="N28">
        <f t="shared" ca="1" si="5"/>
        <v>84</v>
      </c>
      <c r="O28">
        <f t="shared" ca="1" si="5"/>
        <v>36</v>
      </c>
      <c r="P28">
        <f t="shared" ca="1" si="5"/>
        <v>225</v>
      </c>
      <c r="Q28">
        <f t="shared" ca="1" si="5"/>
        <v>290</v>
      </c>
      <c r="R28">
        <f t="shared" ca="1" si="5"/>
        <v>58</v>
      </c>
      <c r="S28">
        <f t="shared" ca="1" si="5"/>
        <v>217</v>
      </c>
      <c r="T28">
        <f t="shared" ca="1" si="5"/>
        <v>121</v>
      </c>
    </row>
    <row r="29" spans="1:20" x14ac:dyDescent="0.25">
      <c r="A29">
        <v>15</v>
      </c>
      <c r="B29">
        <v>30</v>
      </c>
      <c r="C29" s="3">
        <v>42466</v>
      </c>
      <c r="E29" t="str">
        <f t="shared" ca="1" si="4"/>
        <v>Breakfast</v>
      </c>
      <c r="F29" t="str">
        <f t="shared" ca="1" si="4"/>
        <v>Grams</v>
      </c>
      <c r="G29">
        <f t="shared" ca="1" si="5"/>
        <v>290</v>
      </c>
      <c r="H29">
        <f t="shared" ca="1" si="5"/>
        <v>95</v>
      </c>
      <c r="I29">
        <f t="shared" ca="1" si="5"/>
        <v>176</v>
      </c>
      <c r="J29">
        <f t="shared" ca="1" si="5"/>
        <v>258</v>
      </c>
      <c r="K29">
        <f t="shared" ca="1" si="5"/>
        <v>154</v>
      </c>
      <c r="L29">
        <f t="shared" ca="1" si="5"/>
        <v>287</v>
      </c>
      <c r="M29">
        <f t="shared" ca="1" si="5"/>
        <v>166</v>
      </c>
      <c r="N29">
        <f t="shared" ca="1" si="5"/>
        <v>2</v>
      </c>
      <c r="O29">
        <f t="shared" ca="1" si="5"/>
        <v>72</v>
      </c>
      <c r="P29">
        <f t="shared" ca="1" si="5"/>
        <v>36</v>
      </c>
      <c r="Q29">
        <f t="shared" ca="1" si="5"/>
        <v>289</v>
      </c>
      <c r="R29">
        <f t="shared" ca="1" si="5"/>
        <v>225</v>
      </c>
      <c r="S29">
        <f t="shared" ca="1" si="5"/>
        <v>250</v>
      </c>
      <c r="T29">
        <f t="shared" ca="1" si="5"/>
        <v>37</v>
      </c>
    </row>
    <row r="30" spans="1:20" x14ac:dyDescent="0.25">
      <c r="A30">
        <v>15</v>
      </c>
      <c r="B30">
        <v>31</v>
      </c>
      <c r="C30" s="3">
        <v>42465</v>
      </c>
      <c r="E30" t="str">
        <f ca="1">INDEX(E$3:E$6,RANDBETWEEN(1,4))</f>
        <v>Breakfast</v>
      </c>
      <c r="F30" t="str">
        <f ca="1">INDEX(F$3:F$6,RANDBETWEEN(1,4))</f>
        <v>Tablespoons</v>
      </c>
      <c r="G30">
        <f ca="1">RANDBETWEEN(0, 300)</f>
        <v>238</v>
      </c>
      <c r="H30">
        <f t="shared" ca="1" si="5"/>
        <v>129</v>
      </c>
      <c r="I30">
        <f t="shared" ca="1" si="5"/>
        <v>23</v>
      </c>
      <c r="J30">
        <f t="shared" ca="1" si="5"/>
        <v>153</v>
      </c>
      <c r="K30">
        <f t="shared" ca="1" si="5"/>
        <v>249</v>
      </c>
      <c r="L30">
        <f t="shared" ca="1" si="5"/>
        <v>169</v>
      </c>
      <c r="M30">
        <f t="shared" ca="1" si="5"/>
        <v>287</v>
      </c>
      <c r="N30">
        <f t="shared" ca="1" si="5"/>
        <v>168</v>
      </c>
      <c r="O30">
        <f t="shared" ca="1" si="5"/>
        <v>181</v>
      </c>
      <c r="P30">
        <f t="shared" ca="1" si="5"/>
        <v>193</v>
      </c>
      <c r="Q30">
        <f t="shared" ca="1" si="5"/>
        <v>150</v>
      </c>
      <c r="R30">
        <f t="shared" ca="1" si="5"/>
        <v>119</v>
      </c>
      <c r="S30">
        <f ca="1">RANDBETWEEN(0, 300)</f>
        <v>49</v>
      </c>
      <c r="T30">
        <f t="shared" ca="1" si="5"/>
        <v>30</v>
      </c>
    </row>
    <row r="31" spans="1:20" x14ac:dyDescent="0.25">
      <c r="A31">
        <v>15</v>
      </c>
      <c r="B31">
        <v>32</v>
      </c>
      <c r="C31" s="3">
        <v>42464</v>
      </c>
      <c r="E31" t="str">
        <f t="shared" ref="E31:F36" ca="1" si="6">INDEX(E$3:E$6,RANDBETWEEN(1,4))</f>
        <v>Dinner</v>
      </c>
      <c r="F31" t="str">
        <f t="shared" ca="1" si="6"/>
        <v>Cups</v>
      </c>
      <c r="G31">
        <f t="shared" ref="G31:T36" ca="1" si="7">RANDBETWEEN(0, 300)</f>
        <v>214</v>
      </c>
      <c r="H31">
        <f t="shared" ca="1" si="5"/>
        <v>161</v>
      </c>
      <c r="I31">
        <f t="shared" ca="1" si="5"/>
        <v>109</v>
      </c>
      <c r="J31">
        <f t="shared" ca="1" si="5"/>
        <v>185</v>
      </c>
      <c r="K31">
        <f t="shared" ca="1" si="5"/>
        <v>194</v>
      </c>
      <c r="L31">
        <f t="shared" ca="1" si="5"/>
        <v>38</v>
      </c>
      <c r="M31">
        <f t="shared" ca="1" si="5"/>
        <v>30</v>
      </c>
      <c r="N31">
        <f t="shared" ca="1" si="5"/>
        <v>289</v>
      </c>
      <c r="O31">
        <f t="shared" ca="1" si="5"/>
        <v>113</v>
      </c>
      <c r="P31">
        <f t="shared" ca="1" si="5"/>
        <v>9</v>
      </c>
      <c r="Q31">
        <f t="shared" ca="1" si="5"/>
        <v>291</v>
      </c>
      <c r="R31">
        <f t="shared" ca="1" si="5"/>
        <v>22</v>
      </c>
      <c r="S31">
        <f t="shared" ca="1" si="5"/>
        <v>115</v>
      </c>
      <c r="T31">
        <f t="shared" ca="1" si="5"/>
        <v>205</v>
      </c>
    </row>
    <row r="32" spans="1:20" x14ac:dyDescent="0.25">
      <c r="A32">
        <v>15</v>
      </c>
      <c r="B32">
        <v>33</v>
      </c>
      <c r="C32" s="3">
        <v>42463</v>
      </c>
      <c r="E32" t="str">
        <f t="shared" ca="1" si="6"/>
        <v>Dinner</v>
      </c>
      <c r="F32" t="str">
        <f t="shared" ca="1" si="6"/>
        <v>Cups</v>
      </c>
      <c r="G32">
        <f t="shared" ca="1" si="7"/>
        <v>299</v>
      </c>
      <c r="H32">
        <f t="shared" ca="1" si="5"/>
        <v>43</v>
      </c>
      <c r="I32">
        <f t="shared" ca="1" si="5"/>
        <v>246</v>
      </c>
      <c r="J32">
        <f t="shared" ca="1" si="5"/>
        <v>231</v>
      </c>
      <c r="K32">
        <f t="shared" ca="1" si="5"/>
        <v>90</v>
      </c>
      <c r="L32">
        <f t="shared" ca="1" si="5"/>
        <v>209</v>
      </c>
      <c r="M32">
        <f t="shared" ca="1" si="5"/>
        <v>28</v>
      </c>
      <c r="N32">
        <f t="shared" ca="1" si="5"/>
        <v>40</v>
      </c>
      <c r="O32">
        <f t="shared" ca="1" si="5"/>
        <v>147</v>
      </c>
      <c r="P32">
        <f t="shared" ca="1" si="5"/>
        <v>297</v>
      </c>
      <c r="Q32">
        <f t="shared" ca="1" si="5"/>
        <v>233</v>
      </c>
      <c r="R32">
        <f t="shared" ca="1" si="5"/>
        <v>261</v>
      </c>
      <c r="S32">
        <f t="shared" ca="1" si="5"/>
        <v>95</v>
      </c>
      <c r="T32">
        <f t="shared" ca="1" si="5"/>
        <v>37</v>
      </c>
    </row>
    <row r="33" spans="1:20" x14ac:dyDescent="0.25">
      <c r="A33">
        <v>15</v>
      </c>
      <c r="B33">
        <v>34</v>
      </c>
      <c r="C33" s="3">
        <v>42462</v>
      </c>
      <c r="E33" t="str">
        <f t="shared" ca="1" si="6"/>
        <v>Snack</v>
      </c>
      <c r="F33" t="str">
        <f t="shared" ca="1" si="6"/>
        <v>Ounces</v>
      </c>
      <c r="G33">
        <f t="shared" ca="1" si="7"/>
        <v>232</v>
      </c>
      <c r="H33">
        <f t="shared" ca="1" si="5"/>
        <v>194</v>
      </c>
      <c r="I33">
        <f t="shared" ca="1" si="5"/>
        <v>68</v>
      </c>
      <c r="J33">
        <f t="shared" ca="1" si="5"/>
        <v>256</v>
      </c>
      <c r="K33">
        <f t="shared" ca="1" si="5"/>
        <v>257</v>
      </c>
      <c r="L33">
        <f t="shared" ca="1" si="5"/>
        <v>99</v>
      </c>
      <c r="M33">
        <f t="shared" ca="1" si="5"/>
        <v>99</v>
      </c>
      <c r="N33">
        <f t="shared" ca="1" si="5"/>
        <v>217</v>
      </c>
      <c r="O33">
        <f t="shared" ca="1" si="5"/>
        <v>44</v>
      </c>
      <c r="P33">
        <f t="shared" ca="1" si="5"/>
        <v>267</v>
      </c>
      <c r="Q33">
        <f t="shared" ca="1" si="5"/>
        <v>156</v>
      </c>
      <c r="R33">
        <f t="shared" ca="1" si="5"/>
        <v>220</v>
      </c>
      <c r="S33">
        <f t="shared" ca="1" si="5"/>
        <v>12</v>
      </c>
      <c r="T33">
        <f t="shared" ca="1" si="5"/>
        <v>112</v>
      </c>
    </row>
    <row r="34" spans="1:20" x14ac:dyDescent="0.25">
      <c r="A34">
        <v>15</v>
      </c>
      <c r="B34">
        <v>35</v>
      </c>
      <c r="C34" s="3">
        <v>42461</v>
      </c>
      <c r="E34" t="str">
        <f t="shared" ca="1" si="6"/>
        <v>Lunch</v>
      </c>
      <c r="F34" t="str">
        <f t="shared" ca="1" si="6"/>
        <v>Tablespoons</v>
      </c>
      <c r="G34">
        <f t="shared" ca="1" si="7"/>
        <v>165</v>
      </c>
      <c r="H34">
        <f t="shared" ca="1" si="5"/>
        <v>33</v>
      </c>
      <c r="I34">
        <f t="shared" ca="1" si="5"/>
        <v>214</v>
      </c>
      <c r="J34">
        <f t="shared" ca="1" si="5"/>
        <v>84</v>
      </c>
      <c r="K34">
        <f t="shared" ca="1" si="5"/>
        <v>126</v>
      </c>
      <c r="L34">
        <f t="shared" ca="1" si="5"/>
        <v>262</v>
      </c>
      <c r="M34">
        <f t="shared" ca="1" si="5"/>
        <v>143</v>
      </c>
      <c r="N34">
        <f t="shared" ca="1" si="5"/>
        <v>81</v>
      </c>
      <c r="O34">
        <f t="shared" ca="1" si="5"/>
        <v>133</v>
      </c>
      <c r="P34">
        <f t="shared" ca="1" si="5"/>
        <v>16</v>
      </c>
      <c r="Q34">
        <f t="shared" ca="1" si="5"/>
        <v>42</v>
      </c>
      <c r="R34">
        <f t="shared" ca="1" si="5"/>
        <v>41</v>
      </c>
      <c r="S34">
        <f t="shared" ca="1" si="5"/>
        <v>211</v>
      </c>
      <c r="T34">
        <f t="shared" ca="1" si="5"/>
        <v>173</v>
      </c>
    </row>
    <row r="35" spans="1:20" x14ac:dyDescent="0.25">
      <c r="A35">
        <v>15</v>
      </c>
      <c r="B35">
        <v>36</v>
      </c>
      <c r="C35" s="3">
        <v>42460</v>
      </c>
      <c r="E35" t="str">
        <f t="shared" ca="1" si="6"/>
        <v>Lunch</v>
      </c>
      <c r="F35" t="str">
        <f t="shared" ca="1" si="6"/>
        <v>Grams</v>
      </c>
      <c r="G35">
        <f t="shared" ca="1" si="7"/>
        <v>240</v>
      </c>
      <c r="H35">
        <f t="shared" ca="1" si="5"/>
        <v>212</v>
      </c>
      <c r="I35">
        <f t="shared" ca="1" si="5"/>
        <v>9</v>
      </c>
      <c r="J35">
        <f t="shared" ca="1" si="5"/>
        <v>167</v>
      </c>
      <c r="K35">
        <f t="shared" ca="1" si="5"/>
        <v>54</v>
      </c>
      <c r="L35">
        <f t="shared" ca="1" si="5"/>
        <v>189</v>
      </c>
      <c r="M35">
        <f t="shared" ca="1" si="5"/>
        <v>290</v>
      </c>
      <c r="N35">
        <f t="shared" ca="1" si="5"/>
        <v>64</v>
      </c>
      <c r="O35">
        <f t="shared" ca="1" si="5"/>
        <v>152</v>
      </c>
      <c r="P35">
        <f t="shared" ca="1" si="5"/>
        <v>216</v>
      </c>
      <c r="Q35">
        <f t="shared" ca="1" si="5"/>
        <v>73</v>
      </c>
      <c r="R35">
        <f t="shared" ca="1" si="5"/>
        <v>38</v>
      </c>
      <c r="S35">
        <f t="shared" ca="1" si="5"/>
        <v>88</v>
      </c>
      <c r="T35">
        <f t="shared" ca="1" si="5"/>
        <v>37</v>
      </c>
    </row>
    <row r="36" spans="1:20" x14ac:dyDescent="0.25">
      <c r="A36">
        <v>15</v>
      </c>
      <c r="B36">
        <v>37</v>
      </c>
      <c r="C36" s="3">
        <v>42459</v>
      </c>
      <c r="E36" t="str">
        <f t="shared" ca="1" si="6"/>
        <v>Breakfast</v>
      </c>
      <c r="F36" t="str">
        <f t="shared" ca="1" si="6"/>
        <v>Tablespoons</v>
      </c>
      <c r="G36">
        <f t="shared" ca="1" si="7"/>
        <v>141</v>
      </c>
      <c r="H36">
        <f t="shared" ca="1" si="5"/>
        <v>44</v>
      </c>
      <c r="I36">
        <f t="shared" ca="1" si="5"/>
        <v>80</v>
      </c>
      <c r="J36">
        <f t="shared" ca="1" si="5"/>
        <v>65</v>
      </c>
      <c r="K36">
        <f t="shared" ca="1" si="5"/>
        <v>275</v>
      </c>
      <c r="L36">
        <f t="shared" ca="1" si="5"/>
        <v>88</v>
      </c>
      <c r="M36">
        <f t="shared" ca="1" si="5"/>
        <v>270</v>
      </c>
      <c r="N36">
        <f t="shared" ca="1" si="5"/>
        <v>277</v>
      </c>
      <c r="O36">
        <f t="shared" ca="1" si="5"/>
        <v>28</v>
      </c>
      <c r="P36">
        <f t="shared" ca="1" si="5"/>
        <v>180</v>
      </c>
      <c r="Q36">
        <f t="shared" ca="1" si="5"/>
        <v>105</v>
      </c>
      <c r="R36">
        <f t="shared" ca="1" si="5"/>
        <v>256</v>
      </c>
      <c r="S36">
        <f t="shared" ca="1" si="5"/>
        <v>85</v>
      </c>
      <c r="T36">
        <f t="shared" ca="1" si="5"/>
        <v>298</v>
      </c>
    </row>
    <row r="37" spans="1:20" x14ac:dyDescent="0.25">
      <c r="A37">
        <v>15</v>
      </c>
      <c r="B37">
        <v>38</v>
      </c>
      <c r="C37" s="3">
        <v>42458</v>
      </c>
      <c r="E37" t="str">
        <f ca="1">INDEX(E$3:E$6,RANDBETWEEN(1,4))</f>
        <v>Dinner</v>
      </c>
      <c r="F37" t="str">
        <f ca="1">INDEX(F$3:F$6,RANDBETWEEN(1,4))</f>
        <v>Cups</v>
      </c>
      <c r="G37">
        <f ca="1">RANDBETWEEN(0, 300)</f>
        <v>47</v>
      </c>
      <c r="H37">
        <f t="shared" ca="1" si="5"/>
        <v>247</v>
      </c>
      <c r="I37">
        <f t="shared" ca="1" si="5"/>
        <v>189</v>
      </c>
      <c r="J37">
        <f t="shared" ca="1" si="5"/>
        <v>187</v>
      </c>
      <c r="K37">
        <f t="shared" ca="1" si="5"/>
        <v>191</v>
      </c>
      <c r="L37">
        <f t="shared" ca="1" si="5"/>
        <v>188</v>
      </c>
      <c r="M37">
        <f t="shared" ca="1" si="5"/>
        <v>114</v>
      </c>
      <c r="N37">
        <f t="shared" ca="1" si="5"/>
        <v>286</v>
      </c>
      <c r="O37">
        <f t="shared" ca="1" si="5"/>
        <v>73</v>
      </c>
      <c r="P37">
        <f t="shared" ca="1" si="5"/>
        <v>292</v>
      </c>
      <c r="Q37">
        <f t="shared" ca="1" si="5"/>
        <v>59</v>
      </c>
      <c r="R37">
        <f t="shared" ca="1" si="5"/>
        <v>134</v>
      </c>
      <c r="S37">
        <f ca="1">RANDBETWEEN(0, 300)</f>
        <v>290</v>
      </c>
      <c r="T37">
        <f t="shared" ca="1" si="5"/>
        <v>92</v>
      </c>
    </row>
    <row r="38" spans="1:20" x14ac:dyDescent="0.25">
      <c r="A38">
        <v>15</v>
      </c>
      <c r="B38">
        <v>39</v>
      </c>
      <c r="C38" s="3">
        <v>42457</v>
      </c>
      <c r="E38" t="str">
        <f t="shared" ref="E38:F40" ca="1" si="8">INDEX(E$3:E$6,RANDBETWEEN(1,4))</f>
        <v>Dinner</v>
      </c>
      <c r="F38" t="str">
        <f t="shared" ca="1" si="8"/>
        <v>Grams</v>
      </c>
      <c r="G38">
        <f t="shared" ref="G38:T40" ca="1" si="9">RANDBETWEEN(0, 300)</f>
        <v>221</v>
      </c>
      <c r="H38">
        <f t="shared" ca="1" si="5"/>
        <v>226</v>
      </c>
      <c r="I38">
        <f t="shared" ca="1" si="5"/>
        <v>178</v>
      </c>
      <c r="J38">
        <f t="shared" ca="1" si="5"/>
        <v>56</v>
      </c>
      <c r="K38">
        <f t="shared" ca="1" si="5"/>
        <v>108</v>
      </c>
      <c r="L38">
        <f t="shared" ca="1" si="5"/>
        <v>29</v>
      </c>
      <c r="M38">
        <f t="shared" ca="1" si="5"/>
        <v>31</v>
      </c>
      <c r="N38">
        <f t="shared" ca="1" si="5"/>
        <v>102</v>
      </c>
      <c r="O38">
        <f t="shared" ca="1" si="5"/>
        <v>38</v>
      </c>
      <c r="P38">
        <f t="shared" ca="1" si="5"/>
        <v>118</v>
      </c>
      <c r="Q38">
        <f t="shared" ca="1" si="5"/>
        <v>35</v>
      </c>
      <c r="R38">
        <f t="shared" ca="1" si="5"/>
        <v>242</v>
      </c>
      <c r="S38">
        <f t="shared" ca="1" si="5"/>
        <v>40</v>
      </c>
      <c r="T38">
        <f t="shared" ca="1" si="5"/>
        <v>212</v>
      </c>
    </row>
    <row r="39" spans="1:20" x14ac:dyDescent="0.25">
      <c r="A39">
        <v>15</v>
      </c>
      <c r="B39">
        <v>40</v>
      </c>
      <c r="C39" s="3">
        <v>42456</v>
      </c>
      <c r="E39" t="str">
        <f t="shared" ca="1" si="8"/>
        <v>Dinner</v>
      </c>
      <c r="F39" t="str">
        <f t="shared" ca="1" si="8"/>
        <v>Tablespoons</v>
      </c>
      <c r="G39">
        <f t="shared" ca="1" si="9"/>
        <v>202</v>
      </c>
      <c r="H39">
        <f t="shared" ca="1" si="5"/>
        <v>20</v>
      </c>
      <c r="I39">
        <f t="shared" ca="1" si="5"/>
        <v>283</v>
      </c>
      <c r="J39">
        <f t="shared" ca="1" si="5"/>
        <v>100</v>
      </c>
      <c r="K39">
        <f t="shared" ca="1" si="5"/>
        <v>230</v>
      </c>
      <c r="L39">
        <f t="shared" ca="1" si="5"/>
        <v>92</v>
      </c>
      <c r="M39">
        <f t="shared" ca="1" si="5"/>
        <v>33</v>
      </c>
      <c r="N39">
        <f t="shared" ca="1" si="5"/>
        <v>81</v>
      </c>
      <c r="O39">
        <f t="shared" ca="1" si="5"/>
        <v>179</v>
      </c>
      <c r="P39">
        <f t="shared" ca="1" si="5"/>
        <v>225</v>
      </c>
      <c r="Q39">
        <f t="shared" ca="1" si="5"/>
        <v>281</v>
      </c>
      <c r="R39">
        <f t="shared" ca="1" si="5"/>
        <v>19</v>
      </c>
      <c r="S39">
        <f t="shared" ca="1" si="5"/>
        <v>50</v>
      </c>
      <c r="T39">
        <f t="shared" ca="1" si="5"/>
        <v>286</v>
      </c>
    </row>
    <row r="40" spans="1:20" x14ac:dyDescent="0.25">
      <c r="A40">
        <v>15</v>
      </c>
      <c r="B40">
        <v>41</v>
      </c>
      <c r="C40" s="3">
        <v>42455</v>
      </c>
      <c r="E40" t="str">
        <f t="shared" ca="1" si="8"/>
        <v>Lunch</v>
      </c>
      <c r="F40" t="str">
        <f t="shared" ca="1" si="8"/>
        <v>Ounces</v>
      </c>
      <c r="G40">
        <f t="shared" ca="1" si="9"/>
        <v>300</v>
      </c>
      <c r="H40">
        <f t="shared" ca="1" si="9"/>
        <v>53</v>
      </c>
      <c r="I40">
        <f t="shared" ca="1" si="9"/>
        <v>93</v>
      </c>
      <c r="J40">
        <f t="shared" ca="1" si="9"/>
        <v>106</v>
      </c>
      <c r="K40">
        <f t="shared" ca="1" si="9"/>
        <v>8</v>
      </c>
      <c r="L40">
        <f t="shared" ca="1" si="9"/>
        <v>96</v>
      </c>
      <c r="M40">
        <f t="shared" ca="1" si="9"/>
        <v>204</v>
      </c>
      <c r="N40">
        <f t="shared" ca="1" si="9"/>
        <v>209</v>
      </c>
      <c r="O40">
        <f t="shared" ca="1" si="9"/>
        <v>28</v>
      </c>
      <c r="P40">
        <f t="shared" ca="1" si="9"/>
        <v>5</v>
      </c>
      <c r="Q40">
        <f t="shared" ca="1" si="9"/>
        <v>61</v>
      </c>
      <c r="R40">
        <f t="shared" ca="1" si="9"/>
        <v>267</v>
      </c>
      <c r="S40">
        <f t="shared" ca="1" si="9"/>
        <v>88</v>
      </c>
      <c r="T40">
        <f t="shared" ca="1" si="9"/>
        <v>106</v>
      </c>
    </row>
    <row r="41" spans="1:20" ht="409.5" x14ac:dyDescent="0.25">
      <c r="A41" s="1" t="s">
        <v>235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1"/>
  <sheetViews>
    <sheetView workbookViewId="0">
      <selection activeCell="B4" sqref="B4"/>
    </sheetView>
  </sheetViews>
  <sheetFormatPr defaultRowHeight="15" x14ac:dyDescent="0.25"/>
  <cols>
    <col min="1" max="1" width="33.28515625" customWidth="1"/>
    <col min="2" max="2" width="136.85546875" customWidth="1"/>
  </cols>
  <sheetData>
    <row r="1" spans="1:3" ht="345" x14ac:dyDescent="0.25">
      <c r="A1" t="s">
        <v>60</v>
      </c>
      <c r="B1" s="1" t="s">
        <v>195</v>
      </c>
    </row>
    <row r="2" spans="1:3" ht="345" x14ac:dyDescent="0.25">
      <c r="A2" t="s">
        <v>112</v>
      </c>
      <c r="B2" s="1" t="s">
        <v>160</v>
      </c>
    </row>
    <row r="3" spans="1:3" ht="45" x14ac:dyDescent="0.25">
      <c r="A3" t="s">
        <v>124</v>
      </c>
      <c r="B3" s="1" t="s">
        <v>161</v>
      </c>
    </row>
    <row r="4" spans="1:3" ht="45" x14ac:dyDescent="0.25">
      <c r="A4" t="s">
        <v>176</v>
      </c>
      <c r="B4" s="1" t="s">
        <v>177</v>
      </c>
    </row>
    <row r="5" spans="1:3" ht="409.5" x14ac:dyDescent="0.25">
      <c r="A5" t="s">
        <v>136</v>
      </c>
      <c r="B5" s="1" t="s">
        <v>135</v>
      </c>
    </row>
    <row r="6" spans="1:3" ht="409.5" x14ac:dyDescent="0.25">
      <c r="A6" t="s">
        <v>137</v>
      </c>
      <c r="B6" s="1" t="s">
        <v>139</v>
      </c>
      <c r="C6">
        <v>3368</v>
      </c>
    </row>
    <row r="7" spans="1:3" ht="409.5" x14ac:dyDescent="0.25">
      <c r="A7" t="s">
        <v>138</v>
      </c>
      <c r="B7" s="1" t="s">
        <v>221</v>
      </c>
      <c r="C7">
        <v>3513</v>
      </c>
    </row>
    <row r="8" spans="1:3" ht="409.5" x14ac:dyDescent="0.25">
      <c r="A8" t="s">
        <v>165</v>
      </c>
      <c r="B8" s="1" t="s">
        <v>196</v>
      </c>
      <c r="C8">
        <v>546</v>
      </c>
    </row>
    <row r="9" spans="1:3" ht="409.5" x14ac:dyDescent="0.25">
      <c r="A9" t="s">
        <v>164</v>
      </c>
      <c r="B9" s="1" t="s">
        <v>140</v>
      </c>
      <c r="C9">
        <v>2063</v>
      </c>
    </row>
    <row r="10" spans="1:3" ht="165" x14ac:dyDescent="0.25">
      <c r="A10" t="s">
        <v>168</v>
      </c>
      <c r="B10" s="1" t="s">
        <v>169</v>
      </c>
      <c r="C10">
        <v>296</v>
      </c>
    </row>
    <row r="11" spans="1:3" ht="409.5" x14ac:dyDescent="0.25">
      <c r="A11" t="s">
        <v>173</v>
      </c>
      <c r="B11" s="1" t="s">
        <v>174</v>
      </c>
      <c r="C11">
        <v>1864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2"/>
  <sheetViews>
    <sheetView workbookViewId="0">
      <selection activeCell="D20" sqref="D20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  <c r="H1" t="s">
        <v>83</v>
      </c>
    </row>
    <row r="2" spans="1:8" x14ac:dyDescent="0.25">
      <c r="D2" t="s">
        <v>84</v>
      </c>
      <c r="E2">
        <f>A2</f>
        <v>0</v>
      </c>
      <c r="G2" t="s">
        <v>33</v>
      </c>
    </row>
    <row r="3" spans="1:8" x14ac:dyDescent="0.25">
      <c r="A3" t="s">
        <v>87</v>
      </c>
      <c r="B3" t="s">
        <v>16</v>
      </c>
      <c r="C3" t="s">
        <v>35</v>
      </c>
      <c r="D3" t="s">
        <v>121</v>
      </c>
      <c r="E3" t="s">
        <v>88</v>
      </c>
      <c r="F3" t="s">
        <v>166</v>
      </c>
      <c r="G3" t="s">
        <v>85</v>
      </c>
      <c r="H3" s="2" t="s">
        <v>115</v>
      </c>
    </row>
    <row r="4" spans="1:8" x14ac:dyDescent="0.25">
      <c r="A4" t="s">
        <v>0</v>
      </c>
      <c r="B4" t="s">
        <v>16</v>
      </c>
      <c r="C4" t="s">
        <v>38</v>
      </c>
      <c r="D4" t="s">
        <v>123</v>
      </c>
      <c r="E4" t="s">
        <v>39</v>
      </c>
      <c r="F4" t="s">
        <v>40</v>
      </c>
      <c r="G4" t="s">
        <v>59</v>
      </c>
      <c r="H4" s="2" t="s">
        <v>116</v>
      </c>
    </row>
    <row r="5" spans="1:8" x14ac:dyDescent="0.25">
      <c r="A5" t="s">
        <v>88</v>
      </c>
      <c r="B5" t="s">
        <v>16</v>
      </c>
      <c r="C5" t="s">
        <v>41</v>
      </c>
      <c r="E5" t="s">
        <v>87</v>
      </c>
      <c r="F5" t="s">
        <v>42</v>
      </c>
      <c r="G5" t="s">
        <v>86</v>
      </c>
    </row>
    <row r="6" spans="1:8" x14ac:dyDescent="0.25">
      <c r="A6" t="s">
        <v>93</v>
      </c>
      <c r="B6" t="s">
        <v>25</v>
      </c>
      <c r="C6" t="s">
        <v>49</v>
      </c>
      <c r="E6" t="str">
        <f>A6</f>
        <v>Title</v>
      </c>
      <c r="F6" t="s">
        <v>197</v>
      </c>
      <c r="G6" t="s">
        <v>89</v>
      </c>
      <c r="H6" s="2" t="s">
        <v>117</v>
      </c>
    </row>
    <row r="7" spans="1:8" x14ac:dyDescent="0.25">
      <c r="A7" t="s">
        <v>94</v>
      </c>
      <c r="B7" t="s">
        <v>99</v>
      </c>
      <c r="C7" t="s">
        <v>49</v>
      </c>
      <c r="E7" t="str">
        <f t="shared" ref="E7:E12" si="0">A7</f>
        <v>Type</v>
      </c>
      <c r="F7" t="s">
        <v>198</v>
      </c>
      <c r="G7" t="s">
        <v>66</v>
      </c>
      <c r="H7" s="2" t="s">
        <v>118</v>
      </c>
    </row>
    <row r="8" spans="1:8" x14ac:dyDescent="0.25">
      <c r="A8" t="s">
        <v>95</v>
      </c>
      <c r="B8" t="s">
        <v>100</v>
      </c>
      <c r="C8" t="s">
        <v>49</v>
      </c>
      <c r="E8" t="str">
        <f t="shared" si="0"/>
        <v>Minutes</v>
      </c>
      <c r="F8" t="s">
        <v>199</v>
      </c>
      <c r="G8" t="s">
        <v>90</v>
      </c>
      <c r="H8" s="2" t="s">
        <v>119</v>
      </c>
    </row>
    <row r="9" spans="1:8" x14ac:dyDescent="0.25">
      <c r="A9" t="s">
        <v>96</v>
      </c>
      <c r="B9" t="s">
        <v>100</v>
      </c>
      <c r="C9" t="s">
        <v>49</v>
      </c>
      <c r="E9" t="str">
        <f t="shared" si="0"/>
        <v>Inty</v>
      </c>
      <c r="F9" t="s">
        <v>199</v>
      </c>
      <c r="G9" t="s">
        <v>91</v>
      </c>
    </row>
    <row r="10" spans="1:8" x14ac:dyDescent="0.25">
      <c r="A10" t="s">
        <v>24</v>
      </c>
      <c r="B10" t="s">
        <v>25</v>
      </c>
      <c r="C10" t="s">
        <v>49</v>
      </c>
      <c r="E10" t="str">
        <f t="shared" si="0"/>
        <v>Notes</v>
      </c>
      <c r="F10" t="s">
        <v>197</v>
      </c>
      <c r="G10" t="s">
        <v>92</v>
      </c>
    </row>
    <row r="11" spans="1:8" x14ac:dyDescent="0.25">
      <c r="A11" t="s">
        <v>97</v>
      </c>
      <c r="B11" t="s">
        <v>18</v>
      </c>
      <c r="C11" t="s">
        <v>41</v>
      </c>
      <c r="E11" t="str">
        <f t="shared" si="0"/>
        <v>DateEx</v>
      </c>
      <c r="F11" t="s">
        <v>44</v>
      </c>
      <c r="G11" t="s">
        <v>18</v>
      </c>
    </row>
    <row r="12" spans="1:8" x14ac:dyDescent="0.25">
      <c r="A12" t="s">
        <v>98</v>
      </c>
      <c r="B12" t="s">
        <v>46</v>
      </c>
      <c r="C12" t="s">
        <v>41</v>
      </c>
      <c r="E12" t="str">
        <f t="shared" si="0"/>
        <v>TimeEx</v>
      </c>
      <c r="F12" t="s">
        <v>47</v>
      </c>
      <c r="G12" t="s">
        <v>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51"/>
  <sheetViews>
    <sheetView topLeftCell="A37" workbookViewId="0">
      <selection activeCell="A51" sqref="A51"/>
    </sheetView>
  </sheetViews>
  <sheetFormatPr defaultRowHeight="15" x14ac:dyDescent="0.25"/>
  <cols>
    <col min="1" max="1" width="21" customWidth="1"/>
    <col min="8" max="8" width="9.7109375" bestFit="1" customWidth="1"/>
    <col min="9" max="9" width="15.85546875" bestFit="1" customWidth="1"/>
  </cols>
  <sheetData>
    <row r="1" spans="1:9" x14ac:dyDescent="0.25">
      <c r="A1" t="s">
        <v>240</v>
      </c>
    </row>
    <row r="2" spans="1:9" x14ac:dyDescent="0.25">
      <c r="A2" t="s">
        <v>0</v>
      </c>
      <c r="B2" t="s">
        <v>88</v>
      </c>
      <c r="C2" t="s">
        <v>93</v>
      </c>
      <c r="D2" t="s">
        <v>94</v>
      </c>
      <c r="E2" t="s">
        <v>95</v>
      </c>
      <c r="F2" t="s">
        <v>96</v>
      </c>
      <c r="G2" t="s">
        <v>24</v>
      </c>
      <c r="H2" t="s">
        <v>97</v>
      </c>
      <c r="I2" t="s">
        <v>98</v>
      </c>
    </row>
    <row r="3" spans="1:9" x14ac:dyDescent="0.25">
      <c r="A3">
        <v>15</v>
      </c>
      <c r="B3">
        <v>7</v>
      </c>
      <c r="D3" t="s">
        <v>236</v>
      </c>
      <c r="E3">
        <v>30</v>
      </c>
      <c r="F3">
        <v>6</v>
      </c>
      <c r="H3" s="3">
        <v>42502</v>
      </c>
      <c r="I3" s="4" t="s">
        <v>241</v>
      </c>
    </row>
    <row r="4" spans="1:9" x14ac:dyDescent="0.25">
      <c r="A4">
        <v>15</v>
      </c>
      <c r="B4">
        <v>8</v>
      </c>
      <c r="D4" t="s">
        <v>237</v>
      </c>
      <c r="E4">
        <v>30</v>
      </c>
      <c r="F4">
        <v>7</v>
      </c>
      <c r="H4" s="3">
        <v>42501</v>
      </c>
      <c r="I4" s="4" t="s">
        <v>242</v>
      </c>
    </row>
    <row r="5" spans="1:9" x14ac:dyDescent="0.25">
      <c r="A5">
        <v>15</v>
      </c>
      <c r="B5">
        <v>9</v>
      </c>
      <c r="D5" t="s">
        <v>238</v>
      </c>
      <c r="E5">
        <v>50</v>
      </c>
      <c r="F5">
        <v>4</v>
      </c>
      <c r="H5" s="3">
        <v>42500</v>
      </c>
      <c r="I5" s="4" t="s">
        <v>242</v>
      </c>
    </row>
    <row r="6" spans="1:9" x14ac:dyDescent="0.25">
      <c r="A6">
        <v>15</v>
      </c>
      <c r="B6">
        <v>10</v>
      </c>
      <c r="D6" t="s">
        <v>239</v>
      </c>
      <c r="E6">
        <v>30</v>
      </c>
      <c r="F6">
        <v>0</v>
      </c>
      <c r="H6" s="3">
        <v>42491</v>
      </c>
      <c r="I6" s="4" t="s">
        <v>242</v>
      </c>
    </row>
    <row r="7" spans="1:9" x14ac:dyDescent="0.25">
      <c r="A7">
        <v>15</v>
      </c>
      <c r="B7">
        <v>11</v>
      </c>
      <c r="D7" t="str">
        <f ca="1">INDEX(D$3:D$6,RANDBETWEEN(1,4))</f>
        <v>Endurance</v>
      </c>
      <c r="E7">
        <f ca="1">RANDBETWEEN(1,60)</f>
        <v>13</v>
      </c>
      <c r="F7">
        <f ca="1">RANDBETWEEN(0,10)</f>
        <v>3</v>
      </c>
      <c r="H7" s="3">
        <v>42490</v>
      </c>
      <c r="I7" s="4" t="s">
        <v>243</v>
      </c>
    </row>
    <row r="8" spans="1:9" x14ac:dyDescent="0.25">
      <c r="A8">
        <v>15</v>
      </c>
      <c r="B8">
        <v>12</v>
      </c>
      <c r="D8" t="s">
        <v>239</v>
      </c>
      <c r="E8">
        <v>30</v>
      </c>
      <c r="F8">
        <v>0</v>
      </c>
      <c r="H8" s="3">
        <v>42489</v>
      </c>
      <c r="I8" s="4" t="s">
        <v>244</v>
      </c>
    </row>
    <row r="9" spans="1:9" x14ac:dyDescent="0.25">
      <c r="A9">
        <v>15</v>
      </c>
      <c r="B9">
        <v>13</v>
      </c>
      <c r="D9" t="str">
        <f t="shared" ref="D9:D21" ca="1" si="0">INDEX(D$3:D$6,RANDBETWEEN(1,4))</f>
        <v>Flexibility</v>
      </c>
      <c r="E9">
        <f t="shared" ref="E9:E21" ca="1" si="1">RANDBETWEEN(1,60)</f>
        <v>60</v>
      </c>
      <c r="F9">
        <f t="shared" ref="F9:F21" ca="1" si="2">RANDBETWEEN(0,10)</f>
        <v>8</v>
      </c>
      <c r="H9" s="3">
        <v>42488</v>
      </c>
      <c r="I9" s="4" t="s">
        <v>245</v>
      </c>
    </row>
    <row r="10" spans="1:9" x14ac:dyDescent="0.25">
      <c r="A10">
        <v>15</v>
      </c>
      <c r="B10">
        <v>14</v>
      </c>
      <c r="D10" t="s">
        <v>239</v>
      </c>
      <c r="E10">
        <v>30</v>
      </c>
      <c r="F10">
        <v>0</v>
      </c>
      <c r="H10" s="3">
        <v>42487</v>
      </c>
      <c r="I10" s="4" t="s">
        <v>242</v>
      </c>
    </row>
    <row r="11" spans="1:9" x14ac:dyDescent="0.25">
      <c r="A11">
        <v>15</v>
      </c>
      <c r="B11">
        <v>15</v>
      </c>
      <c r="D11" t="str">
        <f t="shared" ref="D11:D21" ca="1" si="3">INDEX(D$3:D$6,RANDBETWEEN(1,4))</f>
        <v>Strength</v>
      </c>
      <c r="E11">
        <f t="shared" ref="E11:E21" ca="1" si="4">RANDBETWEEN(1,60)</f>
        <v>12</v>
      </c>
      <c r="F11">
        <f t="shared" ref="F11:F21" ca="1" si="5">RANDBETWEEN(0,10)</f>
        <v>2</v>
      </c>
      <c r="H11" s="3">
        <v>42486</v>
      </c>
      <c r="I11" s="4" t="s">
        <v>242</v>
      </c>
    </row>
    <row r="12" spans="1:9" x14ac:dyDescent="0.25">
      <c r="A12">
        <v>15</v>
      </c>
      <c r="B12">
        <v>16</v>
      </c>
      <c r="D12" t="s">
        <v>239</v>
      </c>
      <c r="E12">
        <v>30</v>
      </c>
      <c r="F12">
        <v>0</v>
      </c>
      <c r="H12" s="3">
        <v>42485</v>
      </c>
      <c r="I12" s="4" t="s">
        <v>242</v>
      </c>
    </row>
    <row r="13" spans="1:9" x14ac:dyDescent="0.25">
      <c r="A13">
        <v>15</v>
      </c>
      <c r="B13">
        <v>17</v>
      </c>
      <c r="D13" t="str">
        <f t="shared" ref="D13:D21" ca="1" si="6">INDEX(D$3:D$6,RANDBETWEEN(1,4))</f>
        <v>Strength</v>
      </c>
      <c r="E13">
        <f t="shared" ref="E13:E21" ca="1" si="7">RANDBETWEEN(1,60)</f>
        <v>1</v>
      </c>
      <c r="F13">
        <f t="shared" ref="F13:F21" ca="1" si="8">RANDBETWEEN(0,10)</f>
        <v>5</v>
      </c>
      <c r="H13" s="3">
        <v>42484</v>
      </c>
      <c r="I13" s="4" t="s">
        <v>246</v>
      </c>
    </row>
    <row r="14" spans="1:9" x14ac:dyDescent="0.25">
      <c r="A14">
        <v>15</v>
      </c>
      <c r="B14">
        <v>18</v>
      </c>
      <c r="D14" t="s">
        <v>239</v>
      </c>
      <c r="E14">
        <v>30</v>
      </c>
      <c r="F14">
        <v>0</v>
      </c>
      <c r="H14" s="3">
        <v>42483</v>
      </c>
      <c r="I14" s="4" t="s">
        <v>247</v>
      </c>
    </row>
    <row r="15" spans="1:9" x14ac:dyDescent="0.25">
      <c r="A15">
        <v>15</v>
      </c>
      <c r="B15">
        <v>19</v>
      </c>
      <c r="D15" t="str">
        <f t="shared" ref="D15:D21" ca="1" si="9">INDEX(D$3:D$6,RANDBETWEEN(1,4))</f>
        <v>Balance</v>
      </c>
      <c r="E15">
        <f t="shared" ref="E15:E21" ca="1" si="10">RANDBETWEEN(1,60)</f>
        <v>60</v>
      </c>
      <c r="F15">
        <f t="shared" ref="F15:F21" ca="1" si="11">RANDBETWEEN(0,10)</f>
        <v>9</v>
      </c>
      <c r="H15" s="3">
        <v>42482</v>
      </c>
      <c r="I15" s="4" t="s">
        <v>248</v>
      </c>
    </row>
    <row r="16" spans="1:9" x14ac:dyDescent="0.25">
      <c r="A16">
        <v>15</v>
      </c>
      <c r="B16">
        <v>20</v>
      </c>
      <c r="D16" t="s">
        <v>239</v>
      </c>
      <c r="E16">
        <v>30</v>
      </c>
      <c r="F16">
        <v>0</v>
      </c>
      <c r="H16" s="3">
        <v>42481</v>
      </c>
      <c r="I16" s="4" t="s">
        <v>242</v>
      </c>
    </row>
    <row r="17" spans="1:9" x14ac:dyDescent="0.25">
      <c r="A17">
        <v>15</v>
      </c>
      <c r="B17">
        <v>21</v>
      </c>
      <c r="D17" t="str">
        <f t="shared" ref="D17:D21" ca="1" si="12">INDEX(D$3:D$6,RANDBETWEEN(1,4))</f>
        <v>Flexibility</v>
      </c>
      <c r="E17">
        <f t="shared" ref="E17:E21" ca="1" si="13">RANDBETWEEN(1,60)</f>
        <v>41</v>
      </c>
      <c r="F17">
        <f t="shared" ref="F17:F21" ca="1" si="14">RANDBETWEEN(0,10)</f>
        <v>9</v>
      </c>
      <c r="H17" s="3">
        <v>42480</v>
      </c>
      <c r="I17" s="4" t="s">
        <v>242</v>
      </c>
    </row>
    <row r="18" spans="1:9" x14ac:dyDescent="0.25">
      <c r="A18">
        <v>15</v>
      </c>
      <c r="B18">
        <v>22</v>
      </c>
      <c r="D18" t="s">
        <v>239</v>
      </c>
      <c r="E18">
        <v>30</v>
      </c>
      <c r="F18">
        <v>0</v>
      </c>
      <c r="H18" s="3">
        <v>42479</v>
      </c>
      <c r="I18" s="4" t="s">
        <v>242</v>
      </c>
    </row>
    <row r="19" spans="1:9" x14ac:dyDescent="0.25">
      <c r="A19">
        <v>15</v>
      </c>
      <c r="B19">
        <v>23</v>
      </c>
      <c r="D19" t="str">
        <f t="shared" ref="D19:D21" ca="1" si="15">INDEX(D$3:D$6,RANDBETWEEN(1,4))</f>
        <v>Strength</v>
      </c>
      <c r="E19">
        <f t="shared" ref="E19:E21" ca="1" si="16">RANDBETWEEN(1,60)</f>
        <v>31</v>
      </c>
      <c r="F19">
        <f t="shared" ref="F19:F21" ca="1" si="17">RANDBETWEEN(0,10)</f>
        <v>8</v>
      </c>
      <c r="H19" s="3">
        <v>42478</v>
      </c>
      <c r="I19" s="4" t="s">
        <v>249</v>
      </c>
    </row>
    <row r="20" spans="1:9" x14ac:dyDescent="0.25">
      <c r="A20">
        <v>15</v>
      </c>
      <c r="B20">
        <v>24</v>
      </c>
      <c r="D20" t="s">
        <v>239</v>
      </c>
      <c r="E20">
        <v>30</v>
      </c>
      <c r="F20">
        <v>0</v>
      </c>
      <c r="H20" s="3">
        <v>42477</v>
      </c>
      <c r="I20" s="4" t="s">
        <v>250</v>
      </c>
    </row>
    <row r="21" spans="1:9" x14ac:dyDescent="0.25">
      <c r="A21">
        <v>15</v>
      </c>
      <c r="B21">
        <v>25</v>
      </c>
      <c r="D21" t="str">
        <f t="shared" ref="D21" ca="1" si="18">INDEX(D$3:D$6,RANDBETWEEN(1,4))</f>
        <v>Strength</v>
      </c>
      <c r="E21">
        <f t="shared" ref="E21" ca="1" si="19">RANDBETWEEN(1,60)</f>
        <v>53</v>
      </c>
      <c r="F21">
        <f t="shared" ref="F21" ca="1" si="20">RANDBETWEEN(0,10)</f>
        <v>2</v>
      </c>
      <c r="H21" s="3">
        <v>42476</v>
      </c>
      <c r="I21" s="4" t="s">
        <v>251</v>
      </c>
    </row>
    <row r="22" spans="1:9" x14ac:dyDescent="0.25">
      <c r="A22">
        <v>15</v>
      </c>
      <c r="B22">
        <v>26</v>
      </c>
      <c r="D22" t="s">
        <v>239</v>
      </c>
      <c r="E22">
        <v>30</v>
      </c>
      <c r="F22">
        <v>0</v>
      </c>
      <c r="H22" s="3">
        <v>42475</v>
      </c>
      <c r="I22" s="4" t="s">
        <v>242</v>
      </c>
    </row>
    <row r="23" spans="1:9" x14ac:dyDescent="0.25">
      <c r="A23">
        <v>15</v>
      </c>
      <c r="B23">
        <v>27</v>
      </c>
      <c r="D23" t="str">
        <f t="shared" ref="D23:D41" ca="1" si="21">INDEX(D$3:D$6,RANDBETWEEN(1,4))</f>
        <v>Balance</v>
      </c>
      <c r="E23">
        <f t="shared" ref="E23:E41" ca="1" si="22">RANDBETWEEN(1,60)</f>
        <v>50</v>
      </c>
      <c r="F23">
        <f t="shared" ref="F23:F41" ca="1" si="23">RANDBETWEEN(0,10)</f>
        <v>4</v>
      </c>
      <c r="H23" s="3">
        <v>42474</v>
      </c>
      <c r="I23" s="4" t="s">
        <v>242</v>
      </c>
    </row>
    <row r="24" spans="1:9" x14ac:dyDescent="0.25">
      <c r="A24">
        <v>15</v>
      </c>
      <c r="B24">
        <v>28</v>
      </c>
      <c r="D24" t="s">
        <v>239</v>
      </c>
      <c r="E24">
        <v>30</v>
      </c>
      <c r="F24">
        <v>0</v>
      </c>
      <c r="H24" s="3">
        <v>42473</v>
      </c>
      <c r="I24" s="4" t="s">
        <v>242</v>
      </c>
    </row>
    <row r="25" spans="1:9" x14ac:dyDescent="0.25">
      <c r="A25">
        <v>15</v>
      </c>
      <c r="B25">
        <v>29</v>
      </c>
      <c r="D25" t="str">
        <f t="shared" ref="D25:D41" ca="1" si="24">INDEX(D$3:D$6,RANDBETWEEN(1,4))</f>
        <v>Strength</v>
      </c>
      <c r="E25">
        <f t="shared" ref="E25:E41" ca="1" si="25">RANDBETWEEN(1,60)</f>
        <v>55</v>
      </c>
      <c r="F25">
        <f t="shared" ref="F25:F41" ca="1" si="26">RANDBETWEEN(0,10)</f>
        <v>0</v>
      </c>
      <c r="H25" s="3">
        <v>42472</v>
      </c>
      <c r="I25" s="4" t="s">
        <v>252</v>
      </c>
    </row>
    <row r="26" spans="1:9" x14ac:dyDescent="0.25">
      <c r="A26">
        <v>15</v>
      </c>
      <c r="B26">
        <v>30</v>
      </c>
      <c r="D26" t="s">
        <v>239</v>
      </c>
      <c r="E26">
        <v>30</v>
      </c>
      <c r="F26">
        <v>0</v>
      </c>
      <c r="H26" s="3">
        <v>42471</v>
      </c>
      <c r="I26" s="4" t="s">
        <v>253</v>
      </c>
    </row>
    <row r="27" spans="1:9" x14ac:dyDescent="0.25">
      <c r="A27">
        <v>15</v>
      </c>
      <c r="B27">
        <v>31</v>
      </c>
      <c r="D27" t="str">
        <f t="shared" ref="D27:D41" ca="1" si="27">INDEX(D$3:D$6,RANDBETWEEN(1,4))</f>
        <v>Strength</v>
      </c>
      <c r="E27">
        <f t="shared" ref="E27:E41" ca="1" si="28">RANDBETWEEN(1,60)</f>
        <v>38</v>
      </c>
      <c r="F27">
        <f t="shared" ref="F27:F41" ca="1" si="29">RANDBETWEEN(0,10)</f>
        <v>9</v>
      </c>
      <c r="H27" s="3">
        <v>42470</v>
      </c>
      <c r="I27" s="4" t="s">
        <v>254</v>
      </c>
    </row>
    <row r="28" spans="1:9" x14ac:dyDescent="0.25">
      <c r="A28">
        <v>15</v>
      </c>
      <c r="B28">
        <v>32</v>
      </c>
      <c r="D28" t="s">
        <v>239</v>
      </c>
      <c r="E28">
        <v>30</v>
      </c>
      <c r="F28">
        <v>0</v>
      </c>
      <c r="H28" s="3">
        <v>42469</v>
      </c>
      <c r="I28" s="4" t="s">
        <v>242</v>
      </c>
    </row>
    <row r="29" spans="1:9" x14ac:dyDescent="0.25">
      <c r="A29">
        <v>15</v>
      </c>
      <c r="B29">
        <v>33</v>
      </c>
      <c r="D29" t="str">
        <f t="shared" ref="D29:D41" ca="1" si="30">INDEX(D$3:D$6,RANDBETWEEN(1,4))</f>
        <v>Strength</v>
      </c>
      <c r="E29">
        <f t="shared" ref="E29:E41" ca="1" si="31">RANDBETWEEN(1,60)</f>
        <v>39</v>
      </c>
      <c r="F29">
        <f t="shared" ref="F29:F41" ca="1" si="32">RANDBETWEEN(0,10)</f>
        <v>2</v>
      </c>
      <c r="H29" s="3">
        <v>42468</v>
      </c>
      <c r="I29" s="4" t="s">
        <v>242</v>
      </c>
    </row>
    <row r="30" spans="1:9" x14ac:dyDescent="0.25">
      <c r="A30">
        <v>15</v>
      </c>
      <c r="B30">
        <v>34</v>
      </c>
      <c r="D30" t="s">
        <v>239</v>
      </c>
      <c r="E30">
        <v>30</v>
      </c>
      <c r="F30">
        <v>0</v>
      </c>
      <c r="H30" s="3">
        <v>42467</v>
      </c>
      <c r="I30" s="4" t="s">
        <v>242</v>
      </c>
    </row>
    <row r="31" spans="1:9" x14ac:dyDescent="0.25">
      <c r="A31">
        <v>15</v>
      </c>
      <c r="B31">
        <v>35</v>
      </c>
      <c r="D31" t="str">
        <f t="shared" ref="D31:D41" ca="1" si="33">INDEX(D$3:D$6,RANDBETWEEN(1,4))</f>
        <v>Balance</v>
      </c>
      <c r="E31">
        <f t="shared" ref="E31:E41" ca="1" si="34">RANDBETWEEN(1,60)</f>
        <v>10</v>
      </c>
      <c r="F31">
        <f t="shared" ref="F31:F41" ca="1" si="35">RANDBETWEEN(0,10)</f>
        <v>5</v>
      </c>
      <c r="H31" s="3">
        <v>42466</v>
      </c>
      <c r="I31" s="4" t="s">
        <v>255</v>
      </c>
    </row>
    <row r="32" spans="1:9" x14ac:dyDescent="0.25">
      <c r="A32">
        <v>15</v>
      </c>
      <c r="B32">
        <v>36</v>
      </c>
      <c r="D32" t="s">
        <v>239</v>
      </c>
      <c r="E32">
        <v>30</v>
      </c>
      <c r="F32">
        <v>0</v>
      </c>
      <c r="H32" s="3">
        <v>42465</v>
      </c>
      <c r="I32" s="4" t="s">
        <v>256</v>
      </c>
    </row>
    <row r="33" spans="1:9" x14ac:dyDescent="0.25">
      <c r="A33">
        <v>15</v>
      </c>
      <c r="B33">
        <v>37</v>
      </c>
      <c r="D33" t="str">
        <f t="shared" ref="D33:D41" ca="1" si="36">INDEX(D$3:D$6,RANDBETWEEN(1,4))</f>
        <v>Flexibility</v>
      </c>
      <c r="E33">
        <f t="shared" ref="E33:E41" ca="1" si="37">RANDBETWEEN(1,60)</f>
        <v>14</v>
      </c>
      <c r="F33">
        <f t="shared" ref="F33:F41" ca="1" si="38">RANDBETWEEN(0,10)</f>
        <v>7</v>
      </c>
      <c r="H33" s="3">
        <v>42464</v>
      </c>
      <c r="I33" s="4" t="s">
        <v>257</v>
      </c>
    </row>
    <row r="34" spans="1:9" x14ac:dyDescent="0.25">
      <c r="A34">
        <v>15</v>
      </c>
      <c r="B34">
        <v>38</v>
      </c>
      <c r="D34" t="s">
        <v>239</v>
      </c>
      <c r="E34">
        <v>30</v>
      </c>
      <c r="F34">
        <v>0</v>
      </c>
      <c r="H34" s="3">
        <v>42463</v>
      </c>
      <c r="I34" s="4" t="s">
        <v>242</v>
      </c>
    </row>
    <row r="35" spans="1:9" x14ac:dyDescent="0.25">
      <c r="A35">
        <v>15</v>
      </c>
      <c r="B35">
        <v>39</v>
      </c>
      <c r="D35" t="str">
        <f t="shared" ref="D35:D41" ca="1" si="39">INDEX(D$3:D$6,RANDBETWEEN(1,4))</f>
        <v>Balance</v>
      </c>
      <c r="E35">
        <f t="shared" ref="E35:E41" ca="1" si="40">RANDBETWEEN(1,60)</f>
        <v>21</v>
      </c>
      <c r="F35">
        <f t="shared" ref="F35:F41" ca="1" si="41">RANDBETWEEN(0,10)</f>
        <v>6</v>
      </c>
      <c r="H35" s="3">
        <v>42462</v>
      </c>
      <c r="I35" s="4" t="s">
        <v>242</v>
      </c>
    </row>
    <row r="36" spans="1:9" x14ac:dyDescent="0.25">
      <c r="A36">
        <v>15</v>
      </c>
      <c r="B36">
        <v>40</v>
      </c>
      <c r="D36" t="s">
        <v>239</v>
      </c>
      <c r="E36">
        <v>30</v>
      </c>
      <c r="F36">
        <v>0</v>
      </c>
      <c r="H36" s="3">
        <v>42461</v>
      </c>
      <c r="I36" s="4" t="s">
        <v>242</v>
      </c>
    </row>
    <row r="37" spans="1:9" x14ac:dyDescent="0.25">
      <c r="A37">
        <v>15</v>
      </c>
      <c r="B37">
        <v>41</v>
      </c>
      <c r="D37" t="str">
        <f t="shared" ref="D37:D41" ca="1" si="42">INDEX(D$3:D$6,RANDBETWEEN(1,4))</f>
        <v>Balance</v>
      </c>
      <c r="E37">
        <f t="shared" ref="E37:E41" ca="1" si="43">RANDBETWEEN(1,60)</f>
        <v>59</v>
      </c>
      <c r="F37">
        <f t="shared" ref="F37:F41" ca="1" si="44">RANDBETWEEN(0,10)</f>
        <v>8</v>
      </c>
      <c r="H37" s="3">
        <v>42460</v>
      </c>
      <c r="I37" s="4" t="s">
        <v>258</v>
      </c>
    </row>
    <row r="38" spans="1:9" x14ac:dyDescent="0.25">
      <c r="A38">
        <v>15</v>
      </c>
      <c r="B38">
        <v>42</v>
      </c>
      <c r="D38" t="s">
        <v>239</v>
      </c>
      <c r="E38">
        <v>30</v>
      </c>
      <c r="F38">
        <v>0</v>
      </c>
      <c r="H38" s="3">
        <v>42459</v>
      </c>
      <c r="I38" s="4" t="s">
        <v>259</v>
      </c>
    </row>
    <row r="39" spans="1:9" x14ac:dyDescent="0.25">
      <c r="A39">
        <v>15</v>
      </c>
      <c r="B39">
        <v>43</v>
      </c>
      <c r="D39" t="str">
        <f t="shared" ref="D39:D41" ca="1" si="45">INDEX(D$3:D$6,RANDBETWEEN(1,4))</f>
        <v>Flexibility</v>
      </c>
      <c r="E39">
        <f t="shared" ref="E39:E41" ca="1" si="46">RANDBETWEEN(1,60)</f>
        <v>1</v>
      </c>
      <c r="F39">
        <f t="shared" ref="F39:F41" ca="1" si="47">RANDBETWEEN(0,10)</f>
        <v>7</v>
      </c>
      <c r="H39" s="3">
        <v>42458</v>
      </c>
      <c r="I39" s="4" t="s">
        <v>260</v>
      </c>
    </row>
    <row r="40" spans="1:9" x14ac:dyDescent="0.25">
      <c r="A40">
        <v>15</v>
      </c>
      <c r="B40">
        <v>44</v>
      </c>
      <c r="D40" t="s">
        <v>239</v>
      </c>
      <c r="E40">
        <v>30</v>
      </c>
      <c r="F40">
        <v>0</v>
      </c>
      <c r="H40" s="3">
        <v>42457</v>
      </c>
      <c r="I40" s="4" t="s">
        <v>242</v>
      </c>
    </row>
    <row r="41" spans="1:9" x14ac:dyDescent="0.25">
      <c r="A41">
        <v>15</v>
      </c>
      <c r="B41">
        <v>45</v>
      </c>
      <c r="D41" t="str">
        <f t="shared" ca="1" si="24"/>
        <v>Flexibility</v>
      </c>
      <c r="E41">
        <f t="shared" ca="1" si="25"/>
        <v>54</v>
      </c>
      <c r="F41">
        <f t="shared" ca="1" si="26"/>
        <v>4</v>
      </c>
      <c r="H41" s="3">
        <v>42456</v>
      </c>
      <c r="I41" s="4" t="s">
        <v>242</v>
      </c>
    </row>
    <row r="42" spans="1:9" x14ac:dyDescent="0.25">
      <c r="A42">
        <v>15</v>
      </c>
      <c r="B42">
        <v>46</v>
      </c>
      <c r="D42" t="s">
        <v>239</v>
      </c>
      <c r="E42">
        <v>30</v>
      </c>
      <c r="F42">
        <v>0</v>
      </c>
      <c r="H42" s="3">
        <v>42455</v>
      </c>
      <c r="I42" s="4" t="s">
        <v>242</v>
      </c>
    </row>
    <row r="43" spans="1:9" x14ac:dyDescent="0.25">
      <c r="A43">
        <v>15</v>
      </c>
      <c r="B43">
        <v>47</v>
      </c>
      <c r="D43" t="str">
        <f ca="1">INDEX(D$3:D$6,RANDBETWEEN(1,4))</f>
        <v>Strength</v>
      </c>
      <c r="E43">
        <f ca="1">RANDBETWEEN(1,60)</f>
        <v>58</v>
      </c>
      <c r="F43">
        <f ca="1">RANDBETWEEN(0,10)</f>
        <v>4</v>
      </c>
      <c r="H43" s="3">
        <v>42454</v>
      </c>
      <c r="I43" s="4" t="s">
        <v>261</v>
      </c>
    </row>
    <row r="44" spans="1:9" x14ac:dyDescent="0.25">
      <c r="A44">
        <v>15</v>
      </c>
      <c r="B44">
        <v>48</v>
      </c>
      <c r="D44" t="s">
        <v>239</v>
      </c>
      <c r="E44">
        <v>30</v>
      </c>
      <c r="F44">
        <v>0</v>
      </c>
      <c r="H44" s="3">
        <v>42453</v>
      </c>
      <c r="I44" s="4" t="s">
        <v>262</v>
      </c>
    </row>
    <row r="45" spans="1:9" x14ac:dyDescent="0.25">
      <c r="A45">
        <v>15</v>
      </c>
      <c r="B45">
        <v>49</v>
      </c>
      <c r="D45" t="str">
        <f t="shared" ref="D45:D50" ca="1" si="48">INDEX(D$3:D$6,RANDBETWEEN(1,4))</f>
        <v>Balance</v>
      </c>
      <c r="E45">
        <f t="shared" ref="E45:E50" ca="1" si="49">RANDBETWEEN(1,60)</f>
        <v>58</v>
      </c>
      <c r="F45">
        <f t="shared" ref="F45:F50" ca="1" si="50">RANDBETWEEN(0,10)</f>
        <v>10</v>
      </c>
      <c r="H45" s="3">
        <v>42452</v>
      </c>
      <c r="I45" s="4" t="s">
        <v>263</v>
      </c>
    </row>
    <row r="46" spans="1:9" x14ac:dyDescent="0.25">
      <c r="A46">
        <v>15</v>
      </c>
      <c r="B46">
        <v>50</v>
      </c>
      <c r="D46" t="s">
        <v>239</v>
      </c>
      <c r="E46">
        <v>30</v>
      </c>
      <c r="F46">
        <v>0</v>
      </c>
      <c r="H46" s="3">
        <v>42451</v>
      </c>
      <c r="I46" s="4" t="s">
        <v>242</v>
      </c>
    </row>
    <row r="47" spans="1:9" x14ac:dyDescent="0.25">
      <c r="A47">
        <v>15</v>
      </c>
      <c r="B47">
        <v>51</v>
      </c>
      <c r="D47" t="str">
        <f t="shared" ref="D47:D50" ca="1" si="51">INDEX(D$3:D$6,RANDBETWEEN(1,4))</f>
        <v>Flexibility</v>
      </c>
      <c r="E47">
        <f t="shared" ref="E47:E50" ca="1" si="52">RANDBETWEEN(1,60)</f>
        <v>46</v>
      </c>
      <c r="F47">
        <f t="shared" ref="F47:F50" ca="1" si="53">RANDBETWEEN(0,10)</f>
        <v>8</v>
      </c>
      <c r="H47" s="3">
        <v>42450</v>
      </c>
      <c r="I47" s="4" t="s">
        <v>242</v>
      </c>
    </row>
    <row r="48" spans="1:9" x14ac:dyDescent="0.25">
      <c r="A48">
        <v>15</v>
      </c>
      <c r="B48">
        <v>52</v>
      </c>
      <c r="D48" t="s">
        <v>239</v>
      </c>
      <c r="E48">
        <v>30</v>
      </c>
      <c r="F48">
        <v>0</v>
      </c>
      <c r="H48" s="3">
        <v>42449</v>
      </c>
      <c r="I48" s="4" t="s">
        <v>242</v>
      </c>
    </row>
    <row r="49" spans="1:9" x14ac:dyDescent="0.25">
      <c r="A49">
        <v>15</v>
      </c>
      <c r="B49">
        <v>53</v>
      </c>
      <c r="D49" t="str">
        <f t="shared" ref="D49:D50" ca="1" si="54">INDEX(D$3:D$6,RANDBETWEEN(1,4))</f>
        <v>Strength</v>
      </c>
      <c r="E49">
        <f t="shared" ref="E49:E50" ca="1" si="55">RANDBETWEEN(1,60)</f>
        <v>27</v>
      </c>
      <c r="F49">
        <f t="shared" ref="F49:F50" ca="1" si="56">RANDBETWEEN(0,10)</f>
        <v>8</v>
      </c>
      <c r="H49" s="3">
        <v>42448</v>
      </c>
      <c r="I49" s="4" t="s">
        <v>264</v>
      </c>
    </row>
    <row r="50" spans="1:9" x14ac:dyDescent="0.25">
      <c r="A50">
        <v>15</v>
      </c>
      <c r="B50">
        <v>54</v>
      </c>
      <c r="D50" t="s">
        <v>239</v>
      </c>
      <c r="E50">
        <v>30</v>
      </c>
      <c r="F50">
        <v>0</v>
      </c>
      <c r="H50" s="3">
        <v>42447</v>
      </c>
      <c r="I50" s="4" t="s">
        <v>265</v>
      </c>
    </row>
    <row r="51" spans="1:9" ht="409.5" x14ac:dyDescent="0.25">
      <c r="A51" s="1" t="s">
        <v>266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1"/>
  <sheetViews>
    <sheetView topLeftCell="A7" workbookViewId="0">
      <selection activeCell="B7" sqref="B7"/>
    </sheetView>
  </sheetViews>
  <sheetFormatPr defaultRowHeight="15" x14ac:dyDescent="0.25"/>
  <cols>
    <col min="1" max="1" width="41" customWidth="1"/>
    <col min="2" max="2" width="90.140625" customWidth="1"/>
  </cols>
  <sheetData>
    <row r="1" spans="1:3" ht="165" x14ac:dyDescent="0.25">
      <c r="A1" t="s">
        <v>60</v>
      </c>
      <c r="B1" s="1" t="s">
        <v>200</v>
      </c>
    </row>
    <row r="2" spans="1:3" ht="180" x14ac:dyDescent="0.25">
      <c r="A2" t="s">
        <v>112</v>
      </c>
      <c r="B2" s="1" t="s">
        <v>180</v>
      </c>
    </row>
    <row r="3" spans="1:3" ht="30" x14ac:dyDescent="0.25">
      <c r="A3" t="s">
        <v>124</v>
      </c>
      <c r="B3" s="1" t="s">
        <v>181</v>
      </c>
    </row>
    <row r="4" spans="1:3" x14ac:dyDescent="0.25">
      <c r="A4" t="s">
        <v>176</v>
      </c>
      <c r="B4" t="s">
        <v>182</v>
      </c>
    </row>
    <row r="5" spans="1:3" ht="330" x14ac:dyDescent="0.25">
      <c r="A5" t="s">
        <v>136</v>
      </c>
      <c r="B5" s="1" t="s">
        <v>201</v>
      </c>
    </row>
    <row r="6" spans="1:3" ht="409.5" x14ac:dyDescent="0.25">
      <c r="A6" t="s">
        <v>137</v>
      </c>
      <c r="B6" s="1" t="s">
        <v>202</v>
      </c>
      <c r="C6">
        <v>1227</v>
      </c>
    </row>
    <row r="7" spans="1:3" ht="409.5" x14ac:dyDescent="0.25">
      <c r="A7" t="s">
        <v>138</v>
      </c>
      <c r="B7" s="1" t="s">
        <v>222</v>
      </c>
      <c r="C7">
        <v>1378</v>
      </c>
    </row>
    <row r="8" spans="1:3" ht="409.5" x14ac:dyDescent="0.25">
      <c r="A8" t="s">
        <v>165</v>
      </c>
      <c r="B8" s="1" t="s">
        <v>184</v>
      </c>
      <c r="C8">
        <v>594</v>
      </c>
    </row>
    <row r="9" spans="1:3" ht="409.5" x14ac:dyDescent="0.25">
      <c r="A9" t="s">
        <v>164</v>
      </c>
      <c r="B9" s="1" t="s">
        <v>183</v>
      </c>
      <c r="C9">
        <v>1033</v>
      </c>
    </row>
    <row r="10" spans="1:3" ht="165" x14ac:dyDescent="0.25">
      <c r="A10" t="s">
        <v>168</v>
      </c>
      <c r="B10" s="1" t="s">
        <v>170</v>
      </c>
      <c r="C10">
        <v>316</v>
      </c>
    </row>
    <row r="11" spans="1:3" ht="409.5" x14ac:dyDescent="0.25">
      <c r="A11" t="s">
        <v>173</v>
      </c>
      <c r="B11" s="1" t="s">
        <v>203</v>
      </c>
      <c r="C11">
        <v>1050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workbookViewId="0">
      <selection activeCell="D14" sqref="D14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</row>
    <row r="2" spans="1:8" x14ac:dyDescent="0.25">
      <c r="D2" t="s">
        <v>101</v>
      </c>
      <c r="E2">
        <f>A2</f>
        <v>0</v>
      </c>
      <c r="G2" t="s">
        <v>33</v>
      </c>
    </row>
    <row r="3" spans="1:8" x14ac:dyDescent="0.25">
      <c r="A3" t="s">
        <v>102</v>
      </c>
      <c r="B3" t="s">
        <v>16</v>
      </c>
      <c r="C3" t="s">
        <v>35</v>
      </c>
      <c r="D3" t="s">
        <v>121</v>
      </c>
      <c r="E3" t="s">
        <v>103</v>
      </c>
      <c r="F3" t="s">
        <v>166</v>
      </c>
      <c r="G3" t="s">
        <v>104</v>
      </c>
      <c r="H3" s="2" t="s">
        <v>113</v>
      </c>
    </row>
    <row r="4" spans="1:8" x14ac:dyDescent="0.25">
      <c r="A4" t="s">
        <v>0</v>
      </c>
      <c r="B4" t="s">
        <v>16</v>
      </c>
      <c r="C4" t="s">
        <v>38</v>
      </c>
      <c r="D4" t="s">
        <v>123</v>
      </c>
      <c r="E4" t="s">
        <v>39</v>
      </c>
      <c r="F4" t="s">
        <v>40</v>
      </c>
      <c r="G4" t="s">
        <v>59</v>
      </c>
    </row>
    <row r="5" spans="1:8" x14ac:dyDescent="0.25">
      <c r="A5" t="s">
        <v>103</v>
      </c>
      <c r="B5" t="s">
        <v>16</v>
      </c>
      <c r="C5" t="s">
        <v>41</v>
      </c>
      <c r="E5" t="s">
        <v>102</v>
      </c>
      <c r="F5" t="s">
        <v>42</v>
      </c>
      <c r="G5" t="s">
        <v>105</v>
      </c>
      <c r="H5" s="2" t="s">
        <v>114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0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106</v>
      </c>
      <c r="B8" t="s">
        <v>46</v>
      </c>
      <c r="C8" t="s">
        <v>49</v>
      </c>
      <c r="E8" t="str">
        <f t="shared" si="0"/>
        <v>Duration</v>
      </c>
      <c r="F8" t="s">
        <v>191</v>
      </c>
      <c r="G8" t="s">
        <v>110</v>
      </c>
    </row>
    <row r="9" spans="1:8" x14ac:dyDescent="0.25">
      <c r="A9" t="s">
        <v>107</v>
      </c>
      <c r="B9" t="s">
        <v>16</v>
      </c>
      <c r="C9" t="s">
        <v>49</v>
      </c>
      <c r="E9" t="str">
        <f t="shared" si="0"/>
        <v>Quality</v>
      </c>
      <c r="F9" t="s">
        <v>42</v>
      </c>
      <c r="G9" t="s">
        <v>111</v>
      </c>
    </row>
    <row r="10" spans="1:8" x14ac:dyDescent="0.25">
      <c r="A10" t="s">
        <v>24</v>
      </c>
      <c r="B10" t="s">
        <v>108</v>
      </c>
      <c r="C10" t="s">
        <v>49</v>
      </c>
      <c r="E10" t="str">
        <f t="shared" si="0"/>
        <v>Notes</v>
      </c>
      <c r="F10" t="s">
        <v>109</v>
      </c>
      <c r="G10" t="s">
        <v>92</v>
      </c>
    </row>
    <row r="12" spans="1:8" x14ac:dyDescent="0.25">
      <c r="H12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1"/>
  <sheetViews>
    <sheetView topLeftCell="A7" workbookViewId="0">
      <selection activeCell="B7" sqref="B7"/>
    </sheetView>
  </sheetViews>
  <sheetFormatPr defaultRowHeight="15" x14ac:dyDescent="0.25"/>
  <cols>
    <col min="1" max="1" width="39.140625" customWidth="1"/>
    <col min="2" max="2" width="84.85546875" customWidth="1"/>
  </cols>
  <sheetData>
    <row r="1" spans="1:3" ht="135" x14ac:dyDescent="0.25">
      <c r="A1" t="s">
        <v>60</v>
      </c>
      <c r="B1" s="1" t="s">
        <v>192</v>
      </c>
    </row>
    <row r="2" spans="1:3" ht="165" x14ac:dyDescent="0.25">
      <c r="A2" t="s">
        <v>112</v>
      </c>
      <c r="B2" s="1" t="s">
        <v>185</v>
      </c>
    </row>
    <row r="3" spans="1:3" ht="45.75" customHeight="1" x14ac:dyDescent="0.25">
      <c r="A3" t="s">
        <v>124</v>
      </c>
      <c r="B3" s="1" t="s">
        <v>186</v>
      </c>
    </row>
    <row r="4" spans="1:3" x14ac:dyDescent="0.25">
      <c r="A4" t="s">
        <v>176</v>
      </c>
      <c r="B4" t="s">
        <v>179</v>
      </c>
    </row>
    <row r="5" spans="1:3" ht="300" x14ac:dyDescent="0.25">
      <c r="A5" t="s">
        <v>136</v>
      </c>
      <c r="B5" s="1" t="s">
        <v>193</v>
      </c>
    </row>
    <row r="6" spans="1:3" ht="409.5" x14ac:dyDescent="0.25">
      <c r="A6" t="s">
        <v>137</v>
      </c>
      <c r="B6" s="1" t="s">
        <v>187</v>
      </c>
      <c r="C6">
        <v>969</v>
      </c>
    </row>
    <row r="7" spans="1:3" ht="409.5" x14ac:dyDescent="0.25">
      <c r="A7" t="s">
        <v>138</v>
      </c>
      <c r="B7" s="1" t="s">
        <v>225</v>
      </c>
      <c r="C7">
        <v>1104</v>
      </c>
    </row>
    <row r="8" spans="1:3" ht="409.5" x14ac:dyDescent="0.25">
      <c r="A8" t="s">
        <v>165</v>
      </c>
      <c r="B8" s="1" t="s">
        <v>188</v>
      </c>
      <c r="C8">
        <v>558</v>
      </c>
    </row>
    <row r="9" spans="1:3" ht="409.5" x14ac:dyDescent="0.25">
      <c r="A9" t="s">
        <v>164</v>
      </c>
      <c r="B9" s="1" t="s">
        <v>189</v>
      </c>
      <c r="C9">
        <v>861</v>
      </c>
    </row>
    <row r="10" spans="1:3" ht="165" x14ac:dyDescent="0.25">
      <c r="A10" t="s">
        <v>168</v>
      </c>
      <c r="B10" s="1" t="s">
        <v>171</v>
      </c>
      <c r="C10">
        <v>301</v>
      </c>
    </row>
    <row r="11" spans="1:3" ht="409.5" x14ac:dyDescent="0.25">
      <c r="A11" t="s">
        <v>173</v>
      </c>
      <c r="B11" s="1" t="s">
        <v>190</v>
      </c>
      <c r="C11">
        <v>930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D21" sqref="D21"/>
    </sheetView>
  </sheetViews>
  <sheetFormatPr defaultRowHeight="15" x14ac:dyDescent="0.25"/>
  <cols>
    <col min="1" max="1" width="13.7109375" bestFit="1" customWidth="1"/>
    <col min="2" max="2" width="15.140625" customWidth="1"/>
    <col min="3" max="3" width="51.140625" bestFit="1" customWidth="1"/>
    <col min="4" max="4" width="30.85546875" bestFit="1" customWidth="1"/>
    <col min="5" max="5" width="18.7109375" bestFit="1" customWidth="1"/>
    <col min="6" max="6" width="19.28515625" customWidth="1"/>
    <col min="7" max="7" width="16.5703125" bestFit="1" customWidth="1"/>
  </cols>
  <sheetData>
    <row r="1" spans="1:7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</row>
    <row r="2" spans="1:7" x14ac:dyDescent="0.25">
      <c r="D2" t="s">
        <v>143</v>
      </c>
      <c r="E2">
        <f>A2</f>
        <v>0</v>
      </c>
      <c r="G2" t="s">
        <v>33</v>
      </c>
    </row>
    <row r="3" spans="1:7" x14ac:dyDescent="0.25">
      <c r="A3" t="s">
        <v>144</v>
      </c>
      <c r="B3" t="s">
        <v>16</v>
      </c>
      <c r="C3" t="s">
        <v>35</v>
      </c>
      <c r="D3" t="s">
        <v>121</v>
      </c>
      <c r="E3" t="s">
        <v>145</v>
      </c>
      <c r="F3" t="s">
        <v>166</v>
      </c>
      <c r="G3" t="s">
        <v>141</v>
      </c>
    </row>
    <row r="4" spans="1:7" x14ac:dyDescent="0.25">
      <c r="A4" t="s">
        <v>0</v>
      </c>
      <c r="B4" t="s">
        <v>16</v>
      </c>
      <c r="C4" t="s">
        <v>38</v>
      </c>
      <c r="D4" t="s">
        <v>123</v>
      </c>
      <c r="E4" t="s">
        <v>39</v>
      </c>
      <c r="F4" t="s">
        <v>40</v>
      </c>
      <c r="G4" t="s">
        <v>59</v>
      </c>
    </row>
    <row r="5" spans="1:7" x14ac:dyDescent="0.25">
      <c r="A5" t="s">
        <v>145</v>
      </c>
      <c r="B5" t="s">
        <v>16</v>
      </c>
      <c r="C5" t="s">
        <v>41</v>
      </c>
      <c r="E5" t="s">
        <v>144</v>
      </c>
      <c r="F5" t="s">
        <v>42</v>
      </c>
      <c r="G5" t="s">
        <v>142</v>
      </c>
    </row>
    <row r="6" spans="1:7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44</v>
      </c>
      <c r="G6" t="s">
        <v>18</v>
      </c>
    </row>
    <row r="7" spans="1:7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7" x14ac:dyDescent="0.25">
      <c r="A8" t="s">
        <v>146</v>
      </c>
      <c r="B8" t="s">
        <v>25</v>
      </c>
      <c r="C8" t="s">
        <v>49</v>
      </c>
      <c r="E8" t="str">
        <f t="shared" si="0"/>
        <v>BrandName</v>
      </c>
      <c r="F8" t="s">
        <v>151</v>
      </c>
      <c r="G8" t="s">
        <v>152</v>
      </c>
    </row>
    <row r="9" spans="1:7" x14ac:dyDescent="0.25">
      <c r="A9" t="s">
        <v>147</v>
      </c>
      <c r="B9" t="s">
        <v>25</v>
      </c>
      <c r="C9" t="s">
        <v>49</v>
      </c>
      <c r="E9" t="str">
        <f t="shared" si="0"/>
        <v>Prescriber</v>
      </c>
      <c r="F9" t="s">
        <v>151</v>
      </c>
      <c r="G9" t="s">
        <v>153</v>
      </c>
    </row>
    <row r="10" spans="1:7" x14ac:dyDescent="0.25">
      <c r="A10" t="s">
        <v>148</v>
      </c>
      <c r="B10" t="s">
        <v>25</v>
      </c>
      <c r="C10" t="s">
        <v>49</v>
      </c>
      <c r="E10" t="str">
        <f t="shared" si="0"/>
        <v>Dose</v>
      </c>
      <c r="F10" t="s">
        <v>151</v>
      </c>
      <c r="G10" t="s">
        <v>154</v>
      </c>
    </row>
    <row r="11" spans="1:7" x14ac:dyDescent="0.25">
      <c r="A11" t="s">
        <v>149</v>
      </c>
      <c r="B11" t="s">
        <v>25</v>
      </c>
      <c r="C11" t="s">
        <v>49</v>
      </c>
      <c r="E11" t="str">
        <f t="shared" si="0"/>
        <v>Instructions</v>
      </c>
      <c r="F11" t="s">
        <v>151</v>
      </c>
      <c r="G11" t="s">
        <v>155</v>
      </c>
    </row>
    <row r="12" spans="1:7" x14ac:dyDescent="0.25">
      <c r="A12" t="s">
        <v>150</v>
      </c>
      <c r="B12" t="s">
        <v>25</v>
      </c>
      <c r="C12" t="s">
        <v>49</v>
      </c>
      <c r="E12" t="str">
        <f t="shared" si="0"/>
        <v>Warnings</v>
      </c>
      <c r="F12" t="s">
        <v>151</v>
      </c>
      <c r="G12" t="s">
        <v>156</v>
      </c>
    </row>
    <row r="13" spans="1:7" x14ac:dyDescent="0.25">
      <c r="A13" t="s">
        <v>24</v>
      </c>
      <c r="B13" t="s">
        <v>25</v>
      </c>
      <c r="C13" t="s">
        <v>49</v>
      </c>
      <c r="E13" t="str">
        <f t="shared" ref="E13" si="1">A13</f>
        <v>Notes</v>
      </c>
      <c r="F13" t="s">
        <v>151</v>
      </c>
      <c r="G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1"/>
  <sheetViews>
    <sheetView topLeftCell="A7" workbookViewId="0">
      <selection activeCell="B7" sqref="B7"/>
    </sheetView>
  </sheetViews>
  <sheetFormatPr defaultRowHeight="15" x14ac:dyDescent="0.25"/>
  <cols>
    <col min="1" max="1" width="35.5703125" bestFit="1" customWidth="1"/>
    <col min="2" max="2" width="125" customWidth="1"/>
  </cols>
  <sheetData>
    <row r="1" spans="1:3" ht="180" x14ac:dyDescent="0.25">
      <c r="A1" t="s">
        <v>60</v>
      </c>
      <c r="B1" s="1" t="s">
        <v>204</v>
      </c>
    </row>
    <row r="2" spans="1:3" ht="180" x14ac:dyDescent="0.25">
      <c r="A2" t="s">
        <v>112</v>
      </c>
      <c r="B2" s="1" t="s">
        <v>162</v>
      </c>
    </row>
    <row r="3" spans="1:3" ht="30" x14ac:dyDescent="0.25">
      <c r="A3" t="s">
        <v>124</v>
      </c>
      <c r="B3" s="1" t="s">
        <v>163</v>
      </c>
    </row>
    <row r="4" spans="1:3" x14ac:dyDescent="0.25">
      <c r="A4" t="s">
        <v>176</v>
      </c>
      <c r="B4" t="s">
        <v>178</v>
      </c>
    </row>
    <row r="5" spans="1:3" ht="345" x14ac:dyDescent="0.25">
      <c r="A5" t="s">
        <v>136</v>
      </c>
      <c r="B5" s="1" t="s">
        <v>157</v>
      </c>
    </row>
    <row r="6" spans="1:3" ht="409.5" x14ac:dyDescent="0.25">
      <c r="A6" t="s">
        <v>137</v>
      </c>
      <c r="B6" s="1" t="s">
        <v>158</v>
      </c>
      <c r="C6">
        <v>1096</v>
      </c>
    </row>
    <row r="7" spans="1:3" ht="409.5" x14ac:dyDescent="0.25">
      <c r="A7" t="s">
        <v>138</v>
      </c>
      <c r="B7" s="1" t="s">
        <v>224</v>
      </c>
      <c r="C7">
        <v>1250</v>
      </c>
    </row>
    <row r="8" spans="1:3" ht="409.5" x14ac:dyDescent="0.25">
      <c r="A8" t="s">
        <v>165</v>
      </c>
      <c r="B8" s="1" t="s">
        <v>205</v>
      </c>
      <c r="C8">
        <v>618</v>
      </c>
    </row>
    <row r="9" spans="1:3" ht="409.5" x14ac:dyDescent="0.25">
      <c r="A9" t="s">
        <v>164</v>
      </c>
      <c r="B9" s="1" t="s">
        <v>159</v>
      </c>
      <c r="C9">
        <v>1167</v>
      </c>
    </row>
    <row r="10" spans="1:3" ht="165" x14ac:dyDescent="0.25">
      <c r="A10" t="s">
        <v>168</v>
      </c>
      <c r="B10" s="1" t="s">
        <v>172</v>
      </c>
      <c r="C10">
        <v>326</v>
      </c>
    </row>
    <row r="11" spans="1:3" ht="409.5" x14ac:dyDescent="0.25">
      <c r="A11" t="s">
        <v>173</v>
      </c>
      <c r="B11" s="1" t="s">
        <v>175</v>
      </c>
      <c r="C11">
        <v>1156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INFO</vt:lpstr>
      <vt:lpstr>Mood</vt:lpstr>
      <vt:lpstr>MoodData</vt:lpstr>
      <vt:lpstr>MoodOutput</vt:lpstr>
      <vt:lpstr>Diet</vt:lpstr>
      <vt:lpstr>DietData</vt:lpstr>
      <vt:lpstr>DietOutput</vt:lpstr>
      <vt:lpstr>Exercise</vt:lpstr>
      <vt:lpstr>ExerciseData</vt:lpstr>
      <vt:lpstr>ExerciseOutput</vt:lpstr>
      <vt:lpstr>Sleep</vt:lpstr>
      <vt:lpstr>SleepOutput</vt:lpstr>
      <vt:lpstr>Medication</vt:lpstr>
      <vt:lpstr>MedicationOutput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TJ</cp:lastModifiedBy>
  <dcterms:created xsi:type="dcterms:W3CDTF">2016-03-07T07:02:10Z</dcterms:created>
  <dcterms:modified xsi:type="dcterms:W3CDTF">2016-05-12T17:51:47Z</dcterms:modified>
</cp:coreProperties>
</file>