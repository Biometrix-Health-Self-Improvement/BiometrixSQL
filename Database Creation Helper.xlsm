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1050" yWindow="0" windowWidth="16905" windowHeight="4260" tabRatio="599" activeTab="8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7" i="11"/>
  <c r="E6" i="11"/>
  <c r="E2" i="11"/>
  <c r="E7" i="9"/>
  <c r="E8" i="9"/>
  <c r="E9" i="9"/>
  <c r="E10" i="9"/>
  <c r="E11" i="9"/>
  <c r="E12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<sst xmlns="http://schemas.openxmlformats.org/spreadsheetml/2006/main" count="505" uniqueCount="222">
  <si>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</si>
  <si>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</si>
  <si>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</si>
  <si>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</si>
  <si>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</si>
  <si>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</si>
  <si>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</si>
  <si>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</si>
  <si>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</si>
  <si>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</si>
  <si>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</si>
  <si>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</si>
  <si>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</si>
  <si>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</si>
  <si>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</si>
  <si>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</si>
  <si>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</si>
  <si>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</si>
  <si>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</si>
  <si>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</si>
  <si>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</si>
  <si>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</si>
  <si>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</si>
  <si>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</si>
  <si>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</si>
  <si>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</si>
  <si>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</si>
  <si>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</si>
  <si>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</si>
  <si>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</si>
  <si>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</si>
  <si>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</si>
  <si>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</si>
  <si>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</si>
  <si>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</si>
  <si>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</si>
  <si>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</si>
  <si>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</si>
  <si>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</si>
  <si>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</si>
  <si>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</si>
  <si>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</si>
  <si>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</si>
  <si>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</si>
  <si>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</si>
  <si>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</si>
  <si>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</si>
  <si>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</si>
  <si>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</si>
  <si>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</si>
  <si>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</si>
  <si>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</si>
  <si>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</si>
  <si>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</si>
  <si>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</si>
  <si>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</si>
  <si>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</si>
  <si>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</si>
  <si>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</si>
  <si>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</si>
  <si>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</si>
  <si>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</si>
  <si>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</si>
  <si>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</si>
  <si>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</si>
  <si>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</si>
  <si>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</si>
  <si>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</si>
  <si>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</si>
  <si>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</si>
  <si>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</si>
  <si>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</si>
  <si>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</si>
  <si>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</si>
  <si>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</si>
  <si>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</si>
  <si>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</si>
  <si>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</si>
  <si>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</si>
  <si>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</si>
  <si>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</si>
  <si>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</si>
  <si>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</si>
  <si>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</si>
  <si>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</si>
  <si>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</si>
  <si>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</si>
  <si>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</si>
  <si>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</si>
  <si>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</si>
  <si>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</si>
  <si>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</si>
  <si>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</si>
  <si>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</si>
  <si>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INTY</t>
  </si>
  <si>
    <t>NOTES</t>
  </si>
  <si>
    <t>Title</t>
  </si>
  <si>
    <t>Type</t>
  </si>
  <si>
    <t>Minutes</t>
  </si>
  <si>
    <t>Inty</t>
  </si>
  <si>
    <t>DateEx</t>
  </si>
  <si>
    <t>TimeEx</t>
  </si>
  <si>
    <t>VARCHAR(140)</t>
  </si>
  <si>
    <t>TINYINT</t>
  </si>
  <si>
    <t>varchar(140)</t>
  </si>
  <si>
    <t>tinyint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</si>
  <si>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</si>
  <si>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</si>
  <si>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</si>
  <si>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</si>
  <si>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</si>
  <si>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</si>
  <si>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</si>
  <si>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</si>
  <si>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VARCHAR(300)</t>
  </si>
  <si>
    <t>varchar(300)</t>
  </si>
  <si>
    <t>DURATION</t>
  </si>
  <si>
    <t>QUALITY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</si>
  <si>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</si>
  <si>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</si>
  <si>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</si>
  <si>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</si>
  <si>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</si>
  <si>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</si>
  <si>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</si>
  <si>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</si>
  <si>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</si>
  <si>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</si>
  <si>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</si>
  <si>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</si>
  <si>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</si>
  <si>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</si>
  <si>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</si>
  <si>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</si>
  <si>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</si>
  <si>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</si>
  <si>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</si>
  <si>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</si>
  <si>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</si>
  <si>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</si>
  <si>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</si>
  <si>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</si>
  <si>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</si>
  <si>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</si>
  <si>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</si>
  <si>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</si>
  <si>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</si>
  <si>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</si>
  <si>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</si>
  <si>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</si>
  <si>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</si>
  <si>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</si>
  <si>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</si>
  <si>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</si>
  <si>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</si>
  <si>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</si>
  <si>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</si>
  <si>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</si>
  <si>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</si>
  <si>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</si>
  <si>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</si>
  <si>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</si>
  <si>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</si>
  <si>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</si>
  <si>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</si>
  <si>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</si>
  <si>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</si>
  <si>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</si>
  <si>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</si>
  <si>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</si>
  <si>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</si>
  <si>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</si>
  <si>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</si>
  <si>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</si>
  <si>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</si>
  <si>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</si>
  <si>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</si>
  <si>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</si>
  <si>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</si>
  <si>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</si>
  <si>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</si>
  <si>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</si>
  <si>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</si>
  <si>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</si>
  <si>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</si>
  <si>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</si>
  <si>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</si>
  <si>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</si>
  <si>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</si>
  <si>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</si>
  <si>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</si>
  <si>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</si>
  <si>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</si>
  <si>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</si>
  <si>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</si>
  <si>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</si>
  <si>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</si>
  <si>
    <t>Local Int Columns(Android Studio)</t>
  </si>
  <si>
    <t>public static final String[] intcols = {DEP, ELEV, IRR, ANX};</t>
  </si>
  <si>
    <t>public static final String[] intcols = {CALORIES, TOTALFAT, SATFAT, TRANSFAT, _x000D_
CHOLESTEROL, SODIUM, TOTALCARBS, FIBER, SUGARS, PROTEIN, VITAMINA, _x000D_
VITAMINB, CALCIUM, IRON};</t>
  </si>
  <si>
    <t>public static final String[] intcolumns = {};</t>
  </si>
  <si>
    <t>public static final String[] intcolumns = {QUALITY};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</si>
  <si>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INTY + " tinyint, " +_x000D_
NOTES + " varchar(255), " +_x000D_
DATE + " date, " +_x000D_
TIME + " varchar(50)" +");";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</si>
  <si>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</si>
  <si>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INTY, NOTES, DATE, TIME};</t>
  </si>
  <si>
    <t>public static final String[] intcolumns = {MINUTES, INTY};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</si>
  <si>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</si>
  <si>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[Inty], [Notes], [DateEx], [TimeEx])_x000D_
Values_x000D_
(@UserID2, @LocalExerciseID2, @Title, @Type, @Minutes2, @Inty2, @Notes, @DateEx, @TimeEx)_x000D_
_x000D_
Select [LocalExerciseID], [WebExerciseID] From dbo.Exercise_x000D_
Where [UserID] = @UserID2 AND [LocalExerciseID] = @LocalExerciseID2_x000D_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</si>
  <si>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@Inty VARCHAR(50), @Notes VARCHAR(255), @DateEx DATE, @TimeEx VARCHAR(50), _x000D_
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[Inty] = @Inty2, _x000D_
[Notes] = @Notes, [DateEx] = @DateEx, [TimeEx] = @TimeEx_x000D_
Where [WebExerciseID] = @WebExerciseID2 AND [UserID] = @UserID2_x000D_
Select @@RowCount as NumRows_x000D_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</si>
  <si>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"Inty";_x000D_
$cols["7"] = "Notes";_x000D_
$cols["8"] = "DateEx";_x000D_
$cols["9"] = "TimeEx";_x000D_
_x000D_
if ($operation == "Update")_x000D_
{_x000D_
	$cols["10"] = "WebExerciseID";_x000D_
}_x000D_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</si>
  <si>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10;_x000D_
_x000D_
$cols = array();_x000D_
$cols[0] = "WebExerciseID";_x000D_
$cols[1] = "UserID";_x000D_
$cols[2] = "LocalExerciseID";_x000D_
$cols[3] = "Title";_x000D_
$cols[4] = "Type";_x000D_
$cols[5] = "Minutes";_x000D_
$cols[6] = "Inty";_x000D_
$cols[7] = "Notes";_x000D_
$cols[8] = "DateEx";_x000D_
$cols[9] = "TimeEx";_x000D_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</si>
  <si>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@UserID2_x000D_
Select @@RowCount as NumRows_x000D_
GO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</si>
  <si>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</t>
  </si>
  <si>
    <t>public static final String[] columns = {LOCAL_SLEEP_ID, USER_NAME, WEB_SLEEP_ID, DATE, _x000D_
TIME, DURATION, QUALITY, NOTES};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</si>
  <si>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[Notes])_x000D_
Values_x000D_
(@UserID2, @LocalSleepID2, @Date, @Time, @Duration, @Quality2, @Notes)_x000D_
_x000D_
Select [LocalSleepID], [WebSleepID] From dbo.Sleep_x000D_
Where [UserID] = @UserID2 AND [LocalSleepID] = @LocalSleepID2_x000D_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</si>
  <si>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@Notes_x000D_
Where [WebSleepID] = @WebSleepID2 AND [UserID] = @UserID2_x000D_
Select @@RowCount as NumRows_x000D_
GO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</si>
  <si>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@UserID2_x000D_
Select @@RowCount as NumRows_x000D_
GO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</si>
  <si>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_x000D_
if ($operation == "Update")_x000D_
{_x000D_
	$cols["8"] = "WebSleepID";_x000D_
}_x000D_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</si>
  <si>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8;_x000D_
_x000D_
$cols = array();_x000D_
$cols[0] = "WebSleepID";_x000D_
$cols[1] = "UserID";_x000D_
$cols[2] = "LocalSleepID";_x000D_
$cols[3] = "Date";_x000D_
$cols[4] = "Time";_x000D_
$cols[5] = "Duration";_x000D_
$cols[6] = "Quality";_x000D_
$cols[7] = "Notes";_x000D_
break;</t>
  </si>
  <si>
    <t>time Null</t>
  </si>
  <si>
    <t>return "CREATE TABLE " + TABLE_NAME + " ( " +_x000D_
LOCAL_SLEEP_ID + " integer primary key autoincrement, " +_x000D_
USER_NAME + " varchar(50) Not Null, " +_x000D_
WEB_SLEEP_ID + " int Null, " +_x000D_
DATE + " date Not Null, " +_x000D_
TIME + " time Not Null, " +_x000D_
DURATION + " time Null, " +_x000D_
QUALITY + " int Null, " +_x000D_
NOTES + " varchar(300)" +");";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</si>
  <si>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NULL_x000D_
	, [Quality] INT NULL_x000D_
	, [Notes] VARCHAR(300) NULL_x000D_
);_x000D_
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</si>
</sst>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131</v>
      </c>
    </row>
    <row r="2" spans="1:1" x14ac:dyDescent="0.25">
      <c r="A2" t="s">
        <v>132</v>
      </c>
    </row>
    <row r="4" spans="1:1" x14ac:dyDescent="0.25">
      <c r="A4" t="s">
        <v>137</v>
      </c>
    </row>
    <row r="5" spans="1:1" x14ac:dyDescent="0.25">
      <c r="A5" t="s">
        <v>133</v>
      </c>
    </row>
    <row r="6" spans="1:1" x14ac:dyDescent="0.25">
      <c r="A6" t="s">
        <v>134</v>
      </c>
    </row>
    <row r="7" spans="1:1" x14ac:dyDescent="0.25">
      <c r="A7" t="s">
        <v>135</v>
      </c>
    </row>
    <row r="8" spans="1:1" x14ac:dyDescent="0.25">
      <c r="A8" t="s">
        <v>136</v>
      </c>
    </row>
    <row r="10" spans="1:1" x14ac:dyDescent="0.25">
      <c r="A10" t="s">
        <v>138</v>
      </c>
    </row>
    <row r="11" spans="1:1" x14ac:dyDescent="0.25">
      <c r="A11" t="s">
        <v>139</v>
      </c>
    </row>
    <row r="12" spans="1:1" x14ac:dyDescent="0.25">
      <c r="A12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workbookViewId="0">
      <selection activeCell="C39" sqref="C39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126</v>
      </c>
      <c r="E1" t="s">
        <v>30</v>
      </c>
      <c r="F1" t="s">
        <v>31</v>
      </c>
      <c r="G1" t="s">
        <v>32</v>
      </c>
      <c r="H1" t="s">
        <v>86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127</v>
      </c>
      <c r="E3" t="s">
        <v>36</v>
      </c>
      <c r="F3" t="s">
        <v>177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128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workbookViewId="0">
      <selection activeCell="B4" sqref="B4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180</v>
      </c>
    </row>
    <row r="2" spans="1:3" ht="165" x14ac:dyDescent="0.25">
      <c r="A2" t="s">
        <v>118</v>
      </c>
      <c r="B2" s="1" t="s">
        <v>169</v>
      </c>
    </row>
    <row r="3" spans="1:3" ht="30" x14ac:dyDescent="0.25">
      <c r="A3" t="s">
        <v>130</v>
      </c>
      <c r="B3" s="1" t="s">
        <v>170</v>
      </c>
    </row>
    <row r="4" spans="1:3" x14ac:dyDescent="0.25">
      <c r="A4" t="s">
        <v>197</v>
      </c>
      <c r="B4" t="s">
        <v>198</v>
      </c>
    </row>
    <row r="5" spans="1:3" ht="330" x14ac:dyDescent="0.25">
      <c r="A5" t="s">
        <v>142</v>
      </c>
      <c r="B5" s="1" t="s">
        <v>148</v>
      </c>
    </row>
    <row r="6" spans="1:3" ht="409.5" x14ac:dyDescent="0.25">
      <c r="A6" t="s">
        <v>143</v>
      </c>
      <c r="B6" s="1" t="s">
        <v>149</v>
      </c>
      <c r="C6">
        <v>1470</v>
      </c>
    </row>
    <row r="7" spans="1:3" ht="409.5" x14ac:dyDescent="0.25">
      <c r="A7" t="s">
        <v>144</v>
      </c>
      <c r="B7" s="1" t="s">
        <v>181</v>
      </c>
      <c r="C7">
        <v>1581</v>
      </c>
    </row>
    <row r="8" spans="1:3" ht="409.5" x14ac:dyDescent="0.25">
      <c r="A8" t="s">
        <v>176</v>
      </c>
      <c r="B8" s="1" t="s">
        <v>184</v>
      </c>
      <c r="C8">
        <v>544</v>
      </c>
    </row>
    <row r="9" spans="1:3" ht="409.5" x14ac:dyDescent="0.25">
      <c r="A9" t="s">
        <v>175</v>
      </c>
      <c r="B9" s="1" t="s">
        <v>146</v>
      </c>
      <c r="C9">
        <v>1031</v>
      </c>
    </row>
    <row r="10" spans="1:3" ht="165" x14ac:dyDescent="0.25">
      <c r="A10" t="s">
        <v>186</v>
      </c>
      <c r="B10" s="1" t="s">
        <v>185</v>
      </c>
      <c r="C10">
        <v>296</v>
      </c>
    </row>
    <row r="11" spans="1:3" ht="409.5" x14ac:dyDescent="0.25">
      <c r="A11" t="s">
        <v>193</v>
      </c>
      <c r="B11" s="1" t="s">
        <v>195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E26" sqref="E2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126</v>
      </c>
      <c r="E1" t="s">
        <v>30</v>
      </c>
      <c r="F1" t="s">
        <v>31</v>
      </c>
      <c r="G1" t="s">
        <v>32</v>
      </c>
      <c r="H1" t="s">
        <v>86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127</v>
      </c>
      <c r="E3" t="s">
        <v>1</v>
      </c>
      <c r="F3" t="s">
        <v>177</v>
      </c>
      <c r="G3" t="s">
        <v>67</v>
      </c>
    </row>
    <row r="4" spans="1:8" x14ac:dyDescent="0.25">
      <c r="A4" t="s">
        <v>0</v>
      </c>
      <c r="B4" t="s">
        <v>16</v>
      </c>
      <c r="C4" t="s">
        <v>38</v>
      </c>
      <c r="D4" t="s">
        <v>128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68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69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66</v>
      </c>
      <c r="G8" t="s">
        <v>70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66</v>
      </c>
      <c r="G9" t="s">
        <v>79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71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80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85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81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72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73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82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74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75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76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83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84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77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78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4" workbookViewId="0">
      <selection activeCell="B4" sqref="B4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178</v>
      </c>
    </row>
    <row r="2" spans="1:3" ht="345" x14ac:dyDescent="0.25">
      <c r="A2" t="s">
        <v>118</v>
      </c>
      <c r="B2" s="1" t="s">
        <v>171</v>
      </c>
    </row>
    <row r="3" spans="1:3" ht="45" x14ac:dyDescent="0.25">
      <c r="A3" t="s">
        <v>130</v>
      </c>
      <c r="B3" s="1" t="s">
        <v>172</v>
      </c>
    </row>
    <row r="4" spans="1:3" ht="45" x14ac:dyDescent="0.25">
      <c r="A4" t="s">
        <v>197</v>
      </c>
      <c r="B4" s="1" t="s">
        <v>199</v>
      </c>
    </row>
    <row r="5" spans="1:3" ht="409.5" x14ac:dyDescent="0.25">
      <c r="A5" t="s">
        <v>142</v>
      </c>
      <c r="B5" s="1" t="s">
        <v>141</v>
      </c>
    </row>
    <row r="6" spans="1:3" ht="409.5" x14ac:dyDescent="0.25">
      <c r="A6" t="s">
        <v>143</v>
      </c>
      <c r="B6" s="1" t="s">
        <v>145</v>
      </c>
      <c r="C6">
        <v>3368</v>
      </c>
    </row>
    <row r="7" spans="1:3" ht="409.5" x14ac:dyDescent="0.25">
      <c r="A7" t="s">
        <v>144</v>
      </c>
      <c r="B7" s="1" t="s">
        <v>182</v>
      </c>
      <c r="C7">
        <v>3491</v>
      </c>
    </row>
    <row r="8" spans="1:3" ht="409.5" x14ac:dyDescent="0.25">
      <c r="A8" t="s">
        <v>176</v>
      </c>
      <c r="B8" s="1" t="s">
        <v>187</v>
      </c>
      <c r="C8">
        <v>544</v>
      </c>
    </row>
    <row r="9" spans="1:3" ht="409.5" x14ac:dyDescent="0.25">
      <c r="A9" t="s">
        <v>175</v>
      </c>
      <c r="B9" s="1" t="s">
        <v>147</v>
      </c>
      <c r="C9">
        <v>2063</v>
      </c>
    </row>
    <row r="10" spans="1:3" ht="165" x14ac:dyDescent="0.25">
      <c r="A10" t="s">
        <v>186</v>
      </c>
      <c r="B10" s="1" t="s">
        <v>188</v>
      </c>
      <c r="C10">
        <v>296</v>
      </c>
    </row>
    <row r="11" spans="1:3" ht="409.5" x14ac:dyDescent="0.25">
      <c r="A11" t="s">
        <v>193</v>
      </c>
      <c r="B11" s="1" t="s">
        <v>194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E15" sqref="E15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126</v>
      </c>
      <c r="E1" t="s">
        <v>30</v>
      </c>
      <c r="F1" t="s">
        <v>31</v>
      </c>
      <c r="G1" t="s">
        <v>32</v>
      </c>
      <c r="H1" t="s">
        <v>86</v>
      </c>
    </row>
    <row r="2" spans="1:8" x14ac:dyDescent="0.25">
      <c r="D2" t="s">
        <v>87</v>
      </c>
      <c r="E2">
        <f>A2</f>
        <v>0</v>
      </c>
      <c r="G2" t="s">
        <v>33</v>
      </c>
    </row>
    <row r="3" spans="1:8" x14ac:dyDescent="0.25">
      <c r="A3" t="s">
        <v>90</v>
      </c>
      <c r="B3" t="s">
        <v>16</v>
      </c>
      <c r="C3" t="s">
        <v>35</v>
      </c>
      <c r="D3" t="s">
        <v>127</v>
      </c>
      <c r="E3" t="s">
        <v>91</v>
      </c>
      <c r="F3" t="s">
        <v>177</v>
      </c>
      <c r="G3" t="s">
        <v>88</v>
      </c>
      <c r="H3" s="2" t="s">
        <v>121</v>
      </c>
    </row>
    <row r="4" spans="1:8" x14ac:dyDescent="0.25">
      <c r="A4" t="s">
        <v>0</v>
      </c>
      <c r="B4" t="s">
        <v>16</v>
      </c>
      <c r="C4" t="s">
        <v>38</v>
      </c>
      <c r="D4" t="s">
        <v>129</v>
      </c>
      <c r="E4" t="s">
        <v>39</v>
      </c>
      <c r="F4" t="s">
        <v>40</v>
      </c>
      <c r="G4" t="s">
        <v>61</v>
      </c>
      <c r="H4" s="2" t="s">
        <v>122</v>
      </c>
    </row>
    <row r="5" spans="1:8" x14ac:dyDescent="0.25">
      <c r="A5" t="s">
        <v>91</v>
      </c>
      <c r="B5" t="s">
        <v>16</v>
      </c>
      <c r="C5" t="s">
        <v>41</v>
      </c>
      <c r="E5" t="s">
        <v>90</v>
      </c>
      <c r="F5" t="s">
        <v>42</v>
      </c>
      <c r="G5" t="s">
        <v>89</v>
      </c>
    </row>
    <row r="6" spans="1:8" x14ac:dyDescent="0.25">
      <c r="A6" t="s">
        <v>96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92</v>
      </c>
      <c r="H6" s="2" t="s">
        <v>123</v>
      </c>
    </row>
    <row r="7" spans="1:8" x14ac:dyDescent="0.25">
      <c r="A7" t="s">
        <v>97</v>
      </c>
      <c r="B7" t="s">
        <v>102</v>
      </c>
      <c r="C7" t="s">
        <v>50</v>
      </c>
      <c r="E7" t="str">
        <f t="shared" ref="E7:E12" si="0">A7</f>
        <v>Type</v>
      </c>
      <c r="F7" t="s">
        <v>104</v>
      </c>
      <c r="G7" t="s">
        <v>69</v>
      </c>
      <c r="H7" s="2" t="s">
        <v>124</v>
      </c>
    </row>
    <row r="8" spans="1:8" x14ac:dyDescent="0.25">
      <c r="A8" t="s">
        <v>98</v>
      </c>
      <c r="B8" t="s">
        <v>103</v>
      </c>
      <c r="C8" t="s">
        <v>50</v>
      </c>
      <c r="E8" t="str">
        <f t="shared" si="0"/>
        <v>Minutes</v>
      </c>
      <c r="F8" t="s">
        <v>105</v>
      </c>
      <c r="G8" t="s">
        <v>93</v>
      </c>
      <c r="H8" s="2" t="s">
        <v>125</v>
      </c>
    </row>
    <row r="9" spans="1:8" x14ac:dyDescent="0.25">
      <c r="A9" t="s">
        <v>99</v>
      </c>
      <c r="B9" t="s">
        <v>103</v>
      </c>
      <c r="C9" t="s">
        <v>50</v>
      </c>
      <c r="E9" t="str">
        <f t="shared" si="0"/>
        <v>Inty</v>
      </c>
      <c r="F9" t="s">
        <v>105</v>
      </c>
      <c r="G9" t="s">
        <v>94</v>
      </c>
    </row>
    <row r="10" spans="1:8" x14ac:dyDescent="0.25">
      <c r="A10" t="s">
        <v>24</v>
      </c>
      <c r="B10" t="s">
        <v>25</v>
      </c>
      <c r="C10" t="s">
        <v>50</v>
      </c>
      <c r="E10" t="str">
        <f t="shared" si="0"/>
        <v>Notes</v>
      </c>
      <c r="F10" t="s">
        <v>59</v>
      </c>
      <c r="G10" t="s">
        <v>95</v>
      </c>
    </row>
    <row r="11" spans="1:8" x14ac:dyDescent="0.25">
      <c r="A11" t="s">
        <v>100</v>
      </c>
      <c r="B11" t="s">
        <v>18</v>
      </c>
      <c r="C11" t="s">
        <v>41</v>
      </c>
      <c r="E11" t="str">
        <f t="shared" si="0"/>
        <v>DateEx</v>
      </c>
      <c r="F11" t="s">
        <v>106</v>
      </c>
      <c r="G11" t="s">
        <v>18</v>
      </c>
    </row>
    <row r="12" spans="1:8" x14ac:dyDescent="0.25">
      <c r="A12" t="s">
        <v>101</v>
      </c>
      <c r="B12" t="s">
        <v>49</v>
      </c>
      <c r="C12" t="s">
        <v>41</v>
      </c>
      <c r="E12" t="str">
        <f t="shared" si="0"/>
        <v>TimeEx</v>
      </c>
      <c r="F12" t="s">
        <v>51</v>
      </c>
      <c r="G12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7" workbookViewId="0">
      <selection activeCell="B7" sqref="B7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165" x14ac:dyDescent="0.25">
      <c r="A1" t="s">
        <v>62</v>
      </c>
      <c r="B1" s="1" t="s">
        <v>202</v>
      </c>
    </row>
    <row r="2" spans="1:3" ht="180" x14ac:dyDescent="0.25">
      <c r="A2" t="s">
        <v>118</v>
      </c>
      <c r="B2" s="1" t="s">
        <v>203</v>
      </c>
    </row>
    <row r="3" spans="1:3" ht="30" x14ac:dyDescent="0.25">
      <c r="A3" t="s">
        <v>130</v>
      </c>
      <c r="B3" s="1" t="s">
        <v>204</v>
      </c>
    </row>
    <row r="4" spans="1:3" x14ac:dyDescent="0.25">
      <c r="A4" t="s">
        <v>197</v>
      </c>
      <c r="B4" t="s">
        <v>205</v>
      </c>
    </row>
    <row r="5" spans="1:3" ht="330" x14ac:dyDescent="0.25">
      <c r="A5" t="s">
        <v>142</v>
      </c>
      <c r="B5" s="1" t="s">
        <v>206</v>
      </c>
    </row>
    <row r="6" spans="1:3" ht="409.5" x14ac:dyDescent="0.25">
      <c r="A6" t="s">
        <v>143</v>
      </c>
      <c r="B6" s="1" t="s">
        <v>207</v>
      </c>
      <c r="C6">
        <v>1234</v>
      </c>
    </row>
    <row r="7" spans="1:3" ht="409.5" x14ac:dyDescent="0.25">
      <c r="A7" t="s">
        <v>144</v>
      </c>
      <c r="B7" s="1" t="s">
        <v>208</v>
      </c>
      <c r="C7">
        <v>1359</v>
      </c>
    </row>
    <row r="8" spans="1:3" ht="409.5" x14ac:dyDescent="0.25">
      <c r="A8" t="s">
        <v>176</v>
      </c>
      <c r="B8" s="1" t="s">
        <v>211</v>
      </c>
      <c r="C8">
        <v>594</v>
      </c>
    </row>
    <row r="9" spans="1:3" ht="409.5" x14ac:dyDescent="0.25">
      <c r="A9" t="s">
        <v>175</v>
      </c>
      <c r="B9" s="1" t="s">
        <v>209</v>
      </c>
      <c r="C9">
        <v>1033</v>
      </c>
    </row>
    <row r="10" spans="1:3" ht="165" x14ac:dyDescent="0.25">
      <c r="A10" t="s">
        <v>186</v>
      </c>
      <c r="B10" s="1" t="s">
        <v>189</v>
      </c>
      <c r="C10">
        <v>316</v>
      </c>
    </row>
    <row r="11" spans="1:3" ht="409.5" x14ac:dyDescent="0.25">
      <c r="A11" t="s">
        <v>193</v>
      </c>
      <c r="B11" s="1" t="s">
        <v>210</v>
      </c>
      <c r="C11">
        <v>1024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22" sqref="E22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126</v>
      </c>
      <c r="E1" t="s">
        <v>30</v>
      </c>
      <c r="F1" t="s">
        <v>31</v>
      </c>
      <c r="G1" t="s">
        <v>32</v>
      </c>
    </row>
    <row r="2" spans="1:8" x14ac:dyDescent="0.25">
      <c r="D2" t="s">
        <v>107</v>
      </c>
      <c r="E2">
        <f>A2</f>
        <v>0</v>
      </c>
      <c r="G2" t="s">
        <v>33</v>
      </c>
    </row>
    <row r="3" spans="1:8" x14ac:dyDescent="0.25">
      <c r="A3" t="s">
        <v>108</v>
      </c>
      <c r="B3" t="s">
        <v>16</v>
      </c>
      <c r="C3" t="s">
        <v>35</v>
      </c>
      <c r="D3" t="s">
        <v>127</v>
      </c>
      <c r="E3" t="s">
        <v>109</v>
      </c>
      <c r="F3" t="s">
        <v>177</v>
      </c>
      <c r="G3" t="s">
        <v>110</v>
      </c>
      <c r="H3" s="2" t="s">
        <v>119</v>
      </c>
    </row>
    <row r="4" spans="1:8" x14ac:dyDescent="0.25">
      <c r="A4" t="s">
        <v>0</v>
      </c>
      <c r="B4" t="s">
        <v>16</v>
      </c>
      <c r="C4" t="s">
        <v>38</v>
      </c>
      <c r="D4" t="s">
        <v>129</v>
      </c>
      <c r="E4" t="s">
        <v>39</v>
      </c>
      <c r="F4" t="s">
        <v>40</v>
      </c>
      <c r="G4" t="s">
        <v>61</v>
      </c>
    </row>
    <row r="5" spans="1:8" x14ac:dyDescent="0.25">
      <c r="A5" t="s">
        <v>109</v>
      </c>
      <c r="B5" t="s">
        <v>16</v>
      </c>
      <c r="C5" t="s">
        <v>41</v>
      </c>
      <c r="E5" t="s">
        <v>108</v>
      </c>
      <c r="F5" t="s">
        <v>42</v>
      </c>
      <c r="G5" t="s">
        <v>111</v>
      </c>
      <c r="H5" s="2" t="s">
        <v>120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0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112</v>
      </c>
      <c r="B8" t="s">
        <v>46</v>
      </c>
      <c r="C8" t="s">
        <v>50</v>
      </c>
      <c r="E8" t="str">
        <f t="shared" si="0"/>
        <v>Duration</v>
      </c>
      <c r="F8" t="s">
        <v>219</v>
      </c>
      <c r="G8" t="s">
        <v>116</v>
      </c>
    </row>
    <row r="9" spans="1:8" x14ac:dyDescent="0.25">
      <c r="A9" t="s">
        <v>113</v>
      </c>
      <c r="B9" t="s">
        <v>16</v>
      </c>
      <c r="C9" t="s">
        <v>50</v>
      </c>
      <c r="E9" t="str">
        <f t="shared" si="0"/>
        <v>Quality</v>
      </c>
      <c r="F9" t="s">
        <v>42</v>
      </c>
      <c r="G9" t="s">
        <v>117</v>
      </c>
    </row>
    <row r="10" spans="1:8" x14ac:dyDescent="0.25">
      <c r="A10" t="s">
        <v>24</v>
      </c>
      <c r="B10" t="s">
        <v>114</v>
      </c>
      <c r="C10" t="s">
        <v>50</v>
      </c>
      <c r="E10" t="str">
        <f t="shared" si="0"/>
        <v>Notes</v>
      </c>
      <c r="F10" t="s">
        <v>115</v>
      </c>
      <c r="G10" t="s">
        <v>95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abSelected="1" workbookViewId="0">
      <selection activeCell="B1" sqref="B1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35" x14ac:dyDescent="0.25">
      <c r="A1" t="s">
        <v>62</v>
      </c>
      <c r="B1" s="1" t="s">
        <v>220</v>
      </c>
    </row>
    <row r="2" spans="1:3" ht="165" x14ac:dyDescent="0.25">
      <c r="A2" t="s">
        <v>118</v>
      </c>
      <c r="B2" s="1" t="s">
        <v>212</v>
      </c>
    </row>
    <row r="3" spans="1:3" ht="45.75" customHeight="1" x14ac:dyDescent="0.25">
      <c r="A3" t="s">
        <v>130</v>
      </c>
      <c r="B3" s="1" t="s">
        <v>213</v>
      </c>
    </row>
    <row r="4" spans="1:3" x14ac:dyDescent="0.25">
      <c r="A4" t="s">
        <v>197</v>
      </c>
      <c r="B4" t="s">
        <v>201</v>
      </c>
    </row>
    <row r="5" spans="1:3" ht="300" x14ac:dyDescent="0.25">
      <c r="A5" t="s">
        <v>142</v>
      </c>
      <c r="B5" s="1" t="s">
        <v>221</v>
      </c>
    </row>
    <row r="6" spans="1:3" ht="409.5" x14ac:dyDescent="0.25">
      <c r="A6" t="s">
        <v>143</v>
      </c>
      <c r="B6" s="1" t="s">
        <v>214</v>
      </c>
      <c r="C6">
        <v>969</v>
      </c>
    </row>
    <row r="7" spans="1:3" ht="409.5" x14ac:dyDescent="0.25">
      <c r="A7" t="s">
        <v>144</v>
      </c>
      <c r="B7" s="1" t="s">
        <v>215</v>
      </c>
      <c r="C7">
        <v>1081</v>
      </c>
    </row>
    <row r="8" spans="1:3" ht="409.5" x14ac:dyDescent="0.25">
      <c r="A8" t="s">
        <v>176</v>
      </c>
      <c r="B8" s="1" t="s">
        <v>216</v>
      </c>
      <c r="C8">
        <v>558</v>
      </c>
    </row>
    <row r="9" spans="1:3" ht="409.5" x14ac:dyDescent="0.25">
      <c r="A9" t="s">
        <v>175</v>
      </c>
      <c r="B9" s="1" t="s">
        <v>217</v>
      </c>
      <c r="C9">
        <v>861</v>
      </c>
    </row>
    <row r="10" spans="1:3" ht="165" x14ac:dyDescent="0.25">
      <c r="A10" t="s">
        <v>186</v>
      </c>
      <c r="B10" s="1" t="s">
        <v>190</v>
      </c>
      <c r="C10">
        <v>301</v>
      </c>
    </row>
    <row r="11" spans="1:3" ht="409.5" x14ac:dyDescent="0.25">
      <c r="A11" t="s">
        <v>193</v>
      </c>
      <c r="B11" s="1" t="s">
        <v>218</v>
      </c>
      <c r="C11">
        <v>930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F39" sqref="F39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126</v>
      </c>
      <c r="E1" t="s">
        <v>30</v>
      </c>
      <c r="F1" t="s">
        <v>31</v>
      </c>
      <c r="G1" t="s">
        <v>32</v>
      </c>
    </row>
    <row r="2" spans="1:7" x14ac:dyDescent="0.25">
      <c r="D2" t="s">
        <v>152</v>
      </c>
      <c r="E2">
        <f>A2</f>
        <v>0</v>
      </c>
      <c r="G2" t="s">
        <v>33</v>
      </c>
    </row>
    <row r="3" spans="1:7" x14ac:dyDescent="0.25">
      <c r="A3" t="s">
        <v>153</v>
      </c>
      <c r="B3" t="s">
        <v>16</v>
      </c>
      <c r="C3" t="s">
        <v>35</v>
      </c>
      <c r="D3" t="s">
        <v>127</v>
      </c>
      <c r="E3" t="s">
        <v>154</v>
      </c>
      <c r="F3" t="s">
        <v>177</v>
      </c>
      <c r="G3" t="s">
        <v>150</v>
      </c>
    </row>
    <row r="4" spans="1:7" x14ac:dyDescent="0.25">
      <c r="A4" t="s">
        <v>0</v>
      </c>
      <c r="B4" t="s">
        <v>16</v>
      </c>
      <c r="C4" t="s">
        <v>38</v>
      </c>
      <c r="D4" t="s">
        <v>129</v>
      </c>
      <c r="E4" t="s">
        <v>39</v>
      </c>
      <c r="F4" t="s">
        <v>40</v>
      </c>
      <c r="G4" t="s">
        <v>61</v>
      </c>
    </row>
    <row r="5" spans="1:7" x14ac:dyDescent="0.25">
      <c r="A5" t="s">
        <v>154</v>
      </c>
      <c r="B5" t="s">
        <v>16</v>
      </c>
      <c r="C5" t="s">
        <v>41</v>
      </c>
      <c r="E5" t="s">
        <v>153</v>
      </c>
      <c r="F5" t="s">
        <v>42</v>
      </c>
      <c r="G5" t="s">
        <v>151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106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155</v>
      </c>
      <c r="B8" t="s">
        <v>25</v>
      </c>
      <c r="C8" t="s">
        <v>50</v>
      </c>
      <c r="E8" t="str">
        <f t="shared" si="0"/>
        <v>BrandName</v>
      </c>
      <c r="F8" t="s">
        <v>160</v>
      </c>
      <c r="G8" t="s">
        <v>161</v>
      </c>
    </row>
    <row r="9" spans="1:7" x14ac:dyDescent="0.25">
      <c r="A9" t="s">
        <v>156</v>
      </c>
      <c r="B9" t="s">
        <v>25</v>
      </c>
      <c r="C9" t="s">
        <v>50</v>
      </c>
      <c r="E9" t="str">
        <f t="shared" si="0"/>
        <v>Prescriber</v>
      </c>
      <c r="F9" t="s">
        <v>160</v>
      </c>
      <c r="G9" t="s">
        <v>162</v>
      </c>
    </row>
    <row r="10" spans="1:7" x14ac:dyDescent="0.25">
      <c r="A10" t="s">
        <v>157</v>
      </c>
      <c r="B10" t="s">
        <v>25</v>
      </c>
      <c r="C10" t="s">
        <v>50</v>
      </c>
      <c r="E10" t="str">
        <f t="shared" si="0"/>
        <v>Dose</v>
      </c>
      <c r="F10" t="s">
        <v>160</v>
      </c>
      <c r="G10" t="s">
        <v>163</v>
      </c>
    </row>
    <row r="11" spans="1:7" x14ac:dyDescent="0.25">
      <c r="A11" t="s">
        <v>158</v>
      </c>
      <c r="B11" t="s">
        <v>25</v>
      </c>
      <c r="C11" t="s">
        <v>50</v>
      </c>
      <c r="E11" t="str">
        <f t="shared" si="0"/>
        <v>Instructions</v>
      </c>
      <c r="F11" t="s">
        <v>160</v>
      </c>
      <c r="G11" t="s">
        <v>164</v>
      </c>
    </row>
    <row r="12" spans="1:7" x14ac:dyDescent="0.25">
      <c r="A12" t="s">
        <v>159</v>
      </c>
      <c r="B12" t="s">
        <v>25</v>
      </c>
      <c r="C12" t="s">
        <v>50</v>
      </c>
      <c r="E12" t="str">
        <f t="shared" si="0"/>
        <v>Warnings</v>
      </c>
      <c r="F12" t="s">
        <v>160</v>
      </c>
      <c r="G12" t="s">
        <v>165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115</v>
      </c>
      <c r="G13" t="s">
        <v>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workbookViewId="0">
      <selection activeCell="B4" sqref="B4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179</v>
      </c>
    </row>
    <row r="2" spans="1:3" ht="180" x14ac:dyDescent="0.25">
      <c r="A2" t="s">
        <v>118</v>
      </c>
      <c r="B2" s="1" t="s">
        <v>173</v>
      </c>
    </row>
    <row r="3" spans="1:3" ht="30" x14ac:dyDescent="0.25">
      <c r="A3" t="s">
        <v>130</v>
      </c>
      <c r="B3" s="1" t="s">
        <v>174</v>
      </c>
    </row>
    <row r="4" spans="1:3" x14ac:dyDescent="0.25">
      <c r="A4" t="s">
        <v>197</v>
      </c>
      <c r="B4" t="s">
        <v>200</v>
      </c>
    </row>
    <row r="5" spans="1:3" ht="345" x14ac:dyDescent="0.25">
      <c r="A5" t="s">
        <v>142</v>
      </c>
      <c r="B5" s="1" t="s">
        <v>166</v>
      </c>
    </row>
    <row r="6" spans="1:3" ht="409.5" x14ac:dyDescent="0.25">
      <c r="A6" t="s">
        <v>143</v>
      </c>
      <c r="B6" s="1" t="s">
        <v>167</v>
      </c>
      <c r="C6">
        <v>1096</v>
      </c>
    </row>
    <row r="7" spans="1:3" ht="409.5" x14ac:dyDescent="0.25">
      <c r="A7" t="s">
        <v>144</v>
      </c>
      <c r="B7" s="1" t="s">
        <v>183</v>
      </c>
      <c r="C7">
        <v>1222</v>
      </c>
    </row>
    <row r="8" spans="1:3" ht="409.5" x14ac:dyDescent="0.25">
      <c r="A8" t="s">
        <v>176</v>
      </c>
      <c r="B8" s="1" t="s">
        <v>191</v>
      </c>
      <c r="C8">
        <v>616</v>
      </c>
    </row>
    <row r="9" spans="1:3" ht="409.5" x14ac:dyDescent="0.25">
      <c r="A9" t="s">
        <v>175</v>
      </c>
      <c r="B9" s="1" t="s">
        <v>168</v>
      </c>
      <c r="C9">
        <v>1167</v>
      </c>
    </row>
    <row r="10" spans="1:3" ht="165" x14ac:dyDescent="0.25">
      <c r="A10" t="s">
        <v>186</v>
      </c>
      <c r="B10" s="1" t="s">
        <v>192</v>
      </c>
      <c r="C10">
        <v>326</v>
      </c>
    </row>
    <row r="11" spans="1:3" ht="409.5" x14ac:dyDescent="0.25">
      <c r="A11" t="s">
        <v>193</v>
      </c>
      <c r="B11" s="1" t="s">
        <v>196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2016-05-05T22:18:07Z</dcterms:modified>
</cp:coreProperties>
</file>