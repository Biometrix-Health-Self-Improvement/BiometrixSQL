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J\Documents\GitHub\BiometrixSQL\"/>
    </mc:Choice>
  </mc:AlternateContent>
  <bookViews>
    <workbookView xWindow="0" yWindow="0" windowWidth="16905" windowHeight="4260" tabRatio="599" activeTab="1"/>
  </bookViews>
  <sheets>
    <sheet name="INFO" sheetId="13" r:id="rId1"/>
    <sheet name="Mood" sheetId="2" r:id="rId2"/>
    <sheet name="MoodOutput" sheetId="3" r:id="rId3"/>
    <sheet name="Diet" sheetId="7" r:id="rId4"/>
    <sheet name="DietOutput" sheetId="8" r:id="rId5"/>
    <sheet name="Exercise" sheetId="9" r:id="rId6"/>
    <sheet name="ExerciseOutput" sheetId="10" r:id="rId7"/>
    <sheet name="Sleep" sheetId="11" r:id="rId8"/>
    <sheet name="SleepOutput" sheetId="12" r:id="rId9"/>
    <sheet name="Medication" sheetId="14" r:id="rId10"/>
    <sheet name="MedicationOutput" sheetId="15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4" l="1"/>
  <c r="E9" i="14"/>
  <c r="E10" i="14"/>
  <c r="E11" i="14"/>
  <c r="E12" i="14"/>
  <c r="E13" i="14"/>
  <c r="E7" i="14"/>
  <c r="E6" i="14"/>
  <c r="E2" i="14"/>
  <c r="E8" i="11" l="1"/>
  <c r="E9" i="11"/>
  <c r="E10" i="11"/>
  <c r="E11" i="11"/>
  <c r="E7" i="11"/>
  <c r="E6" i="11"/>
  <c r="E2" i="11"/>
  <c r="E7" i="9"/>
  <c r="E8" i="9"/>
  <c r="E9" i="9"/>
  <c r="E10" i="9"/>
  <c r="E11" i="9"/>
  <c r="E12" i="9"/>
  <c r="E13" i="9"/>
  <c r="E14" i="9"/>
  <c r="E15" i="9"/>
  <c r="E6" i="9"/>
  <c r="E2" i="9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6" i="7"/>
  <c r="E2" i="7"/>
  <c r="E2" i="2"/>
  <c r="E6" i="2"/>
  <c r="E7" i="2"/>
  <c r="E8" i="2"/>
  <c r="E9" i="2"/>
  <c r="E10" i="2"/>
  <c r="E11" i="2"/>
  <c r="E12" i="2"/>
</calcChain>
</file>

<file path=xl/sharedStrings.xml><?xml version="1.0" encoding="utf-8"?>
<sst xmlns="http://schemas.openxmlformats.org/spreadsheetml/2006/main" count="516" uniqueCount="228">
  <si>
    <t>UserID</t>
  </si>
  <si>
    <t>LocalDietID</t>
  </si>
  <si>
    <t>Calories</t>
  </si>
  <si>
    <t>TotalFat</t>
  </si>
  <si>
    <t>SaturatedFat</t>
  </si>
  <si>
    <t>TransFat</t>
  </si>
  <si>
    <t>Cholesterol</t>
  </si>
  <si>
    <t>Sodium</t>
  </si>
  <si>
    <t>TotalCarbs</t>
  </si>
  <si>
    <t>DietaryFiber</t>
  </si>
  <si>
    <t>Sugars</t>
  </si>
  <si>
    <t>Protein</t>
  </si>
  <si>
    <t>VitaminA</t>
  </si>
  <si>
    <t>VitaminB</t>
  </si>
  <si>
    <t>Calcium</t>
  </si>
  <si>
    <t>Iron</t>
  </si>
  <si>
    <t>INT</t>
  </si>
  <si>
    <t>Date</t>
  </si>
  <si>
    <t>DATE</t>
  </si>
  <si>
    <t>FoodType</t>
  </si>
  <si>
    <t>VARCHAR(40)</t>
  </si>
  <si>
    <t>Meal</t>
  </si>
  <si>
    <t>VARCHAR(20)</t>
  </si>
  <si>
    <t>Column Name</t>
  </si>
  <si>
    <t>Notes</t>
  </si>
  <si>
    <t>VARCHAR(255)</t>
  </si>
  <si>
    <t>ServingSize</t>
  </si>
  <si>
    <t>Column Type</t>
  </si>
  <si>
    <t>WebMoodID</t>
  </si>
  <si>
    <t>Mood</t>
  </si>
  <si>
    <t>Column Name Local</t>
  </si>
  <si>
    <t>Column Type Local</t>
  </si>
  <si>
    <t>Local String name</t>
  </si>
  <si>
    <t>TABLE_NAME</t>
  </si>
  <si>
    <t>Additional column type</t>
  </si>
  <si>
    <t>PRIMARY KEY Identity(1,1)</t>
  </si>
  <si>
    <t>LocalMoodID</t>
  </si>
  <si>
    <t>LOCAL_MOOD_ID</t>
  </si>
  <si>
    <t>NOT NULL FOREIGN KEY REFERENCES [dbo].[LoginTable]</t>
  </si>
  <si>
    <t>UserName</t>
  </si>
  <si>
    <t>varchar(50) Not Null</t>
  </si>
  <si>
    <t>NOT NULL</t>
  </si>
  <si>
    <t>int Null</t>
  </si>
  <si>
    <t>WEB_MOOD_ID</t>
  </si>
  <si>
    <t>date Not Null</t>
  </si>
  <si>
    <t>Time</t>
  </si>
  <si>
    <t>TIME</t>
  </si>
  <si>
    <t>time Not Null</t>
  </si>
  <si>
    <t>Depression</t>
  </si>
  <si>
    <t>VARCHAR(50)</t>
  </si>
  <si>
    <t>NULL</t>
  </si>
  <si>
    <t>varchar(50)</t>
  </si>
  <si>
    <t>DEP</t>
  </si>
  <si>
    <t>Elevated</t>
  </si>
  <si>
    <t>ELEV</t>
  </si>
  <si>
    <t>Irritable</t>
  </si>
  <si>
    <t>IRR</t>
  </si>
  <si>
    <t>Anxiety</t>
  </si>
  <si>
    <t>ANX</t>
  </si>
  <si>
    <t>varchar(255)</t>
  </si>
  <si>
    <t>NOTE</t>
  </si>
  <si>
    <t>USER_NAME</t>
  </si>
  <si>
    <t>Local Table Create(Android Studio)</t>
  </si>
  <si>
    <t>Diet</t>
  </si>
  <si>
    <t>WebDietID</t>
  </si>
  <si>
    <t>varchar(40) Not Null</t>
  </si>
  <si>
    <t>int Not Null</t>
  </si>
  <si>
    <t>varchar(20) Null</t>
  </si>
  <si>
    <t>LOCAL_DIET_ID</t>
  </si>
  <si>
    <t>WEB_DIET_ID</t>
  </si>
  <si>
    <t>TYPE</t>
  </si>
  <si>
    <t>MEAL</t>
  </si>
  <si>
    <t>CALORIES</t>
  </si>
  <si>
    <t>CHOLESTEROL</t>
  </si>
  <si>
    <t>SODIUM</t>
  </si>
  <si>
    <t>FIBER</t>
  </si>
  <si>
    <t>SUGARS</t>
  </si>
  <si>
    <t>PROTEIN</t>
  </si>
  <si>
    <t>CALCIUM</t>
  </si>
  <si>
    <t>IRON</t>
  </si>
  <si>
    <t>SERVING</t>
  </si>
  <si>
    <t>TOTALFAT</t>
  </si>
  <si>
    <t>TRANSFAT</t>
  </si>
  <si>
    <t>TOTALCARBS</t>
  </si>
  <si>
    <t>VITAMINA</t>
  </si>
  <si>
    <t>VITAMINB</t>
  </si>
  <si>
    <t>SATFAT</t>
  </si>
  <si>
    <t>Comments</t>
  </si>
  <si>
    <t>Exercise</t>
  </si>
  <si>
    <t>LOCAL_EXERCISE_ID</t>
  </si>
  <si>
    <t>WEB_EXERCISE_ID</t>
  </si>
  <si>
    <t>WebExerciseID</t>
  </si>
  <si>
    <t>LocalExerciseID</t>
  </si>
  <si>
    <t>TITLE</t>
  </si>
  <si>
    <t>MINUTES</t>
  </si>
  <si>
    <t>REPS</t>
  </si>
  <si>
    <t>LAPS</t>
  </si>
  <si>
    <t>WEIGHT</t>
  </si>
  <si>
    <t>INTY</t>
  </si>
  <si>
    <t>NOTES</t>
  </si>
  <si>
    <t>Title</t>
  </si>
  <si>
    <t>Type</t>
  </si>
  <si>
    <t>Minutes</t>
  </si>
  <si>
    <t>Reps</t>
  </si>
  <si>
    <t>Laps</t>
  </si>
  <si>
    <t>Weight</t>
  </si>
  <si>
    <t>Inty</t>
  </si>
  <si>
    <t>DateEx</t>
  </si>
  <si>
    <t>TimeEx</t>
  </si>
  <si>
    <t>VARCHAR(140)</t>
  </si>
  <si>
    <t>TINYINT</t>
  </si>
  <si>
    <t>SMALLINT</t>
  </si>
  <si>
    <t>varchar(140)</t>
  </si>
  <si>
    <t>tinyint</t>
  </si>
  <si>
    <t>smallint</t>
  </si>
  <si>
    <t>date</t>
  </si>
  <si>
    <t>Sleep</t>
  </si>
  <si>
    <t>WebSleepID</t>
  </si>
  <si>
    <t>LocalSleepID</t>
  </si>
  <si>
    <t>LOCAL_SLEEP_ID</t>
  </si>
  <si>
    <t>WEB_SLEEP_ID</t>
  </si>
  <si>
    <t>Duration</t>
  </si>
  <si>
    <t>Quality</t>
  </si>
  <si>
    <t>Health</t>
  </si>
  <si>
    <t>VARCHAR(300)</t>
  </si>
  <si>
    <t>varchar(300)</t>
  </si>
  <si>
    <t>varchar(20)</t>
  </si>
  <si>
    <t>DURATION</t>
  </si>
  <si>
    <t>QUALITY</t>
  </si>
  <si>
    <t>HEALTH</t>
  </si>
  <si>
    <t>Local Strings(Android Studio)</t>
  </si>
  <si>
    <t>The local sleep ID is a unique identifier for each entry on the local database</t>
  </si>
  <si>
    <t>The web sleep ID is a unique identifier for each entry on the BIOMETRIX database</t>
  </si>
  <si>
    <t>ID used for primary key</t>
  </si>
  <si>
    <t>Username from shared preferences</t>
  </si>
  <si>
    <t>Title will help co-determine the module mode e.g. Simple mode (yay I walked to the fridge), Gainz mode (weight and reps etc.)</t>
  </si>
  <si>
    <t>light, cardio, etc.</t>
  </si>
  <si>
    <t>minutes exercised</t>
  </si>
  <si>
    <t>Reps or laps, data significance determined by module mode WHICH IS NOT IMPLEMENTED YET</t>
  </si>
  <si>
    <t>Table Name (Next line)</t>
  </si>
  <si>
    <t>Name of column array (next line)</t>
  </si>
  <si>
    <t>cols</t>
  </si>
  <si>
    <t>columns</t>
  </si>
  <si>
    <t>Local Columns(Android Studio)</t>
  </si>
  <si>
    <t>This spreadsheet uses macros to attempt to make our lives easier when making changes to a table on the our database.</t>
  </si>
  <si>
    <t>Macros can be accessed from View -&gt; Macros</t>
  </si>
  <si>
    <t>It takes information from the current page and uses it to make an Output page that has the SQL created on it</t>
  </si>
  <si>
    <t>It is expected that the local primary key will be on row 5 in column A, and row 3 in column E</t>
  </si>
  <si>
    <t>Vice versa for the webkey (e.g. local in row 3 column A and row 5 column E)</t>
  </si>
  <si>
    <t>The information on the lefthand side refers to the webdatabase columns which is why it is slightly different from the righthandside which is the local database</t>
  </si>
  <si>
    <t>The main macro is CreateSQLStatements (I bound it to Ctrl+shift+R, but I am not sure if my bindings will transfer via git)</t>
  </si>
  <si>
    <t>The secondary macro is  CopyCellContents (I bound it to Ctrl+Shift+C)</t>
  </si>
  <si>
    <t>Normally when you copy text from Excel it enjoys throwing tons of random quotes in, so this copies the current cell without any extra quotes</t>
  </si>
  <si>
    <t>It is usefully when you are wanting to copy and paste the output</t>
  </si>
  <si>
    <t>USE [Biometrix]_x000D_
GO_x000D_
_x000D_
if Object_ID('[dbo].[Diet]') is NOT NULL_x000D_
BEGIN_x000D_
DROP TABLE [dbo].[Diet]_x000D_
END_x000D_
GO_x000D_
_x000D_
CREATE TABLE [dbo].[Diet](_x000D_
	[WebDietID] INT PRIMARY KEY Identity(1,1)_x000D_
	, [UserID] INT NOT NULL FOREIGN KEY REFERENCES [dbo].[LoginTable]_x000D_
	, [LocalDietID] INT NOT NULL_x000D_
	, [Date] DATE NOT NULL_x000D_
	, [FoodType] VARCHAR(40) NULL_x000D_
	, [Meal] VARCHAR(20) NULL_x000D_
	, [ServingSize] VARCHAR(20) NULL_x000D_
	, [Calories] INT NULL_x000D_
	, [TotalFat] INT NULL_x000D_
	, [SaturatedFat] INT NULL_x000D_
	, [TransFat] INT NULL_x000D_
	, [Cholesterol] INT NULL_x000D_
	, [Sodium] INT NULL_x000D_
	, [TotalCarbs] INT NULL_x000D_
	, [DietaryFiber] INT NULL_x000D_
	, [Sugars] INT NULL_x000D_
	, [Protein] INT NULL_x000D_
	, [VitaminA] INT NULL_x000D_
	, [VitaminB] INT NULL_x000D_
	, [Calcium] INT NULL_x000D_
	, [Iron] INT NULL_x000D_
	, [Notes] VARCHAR(255) NULL_x000D_
);_x000D_
GO</t>
  </si>
  <si>
    <t>USE [Biometrix]_x000D_
GO_x000D_
_x000D_
if Object_ID('[dbo].[Sleep]') is NOT NULL_x000D_
BEGIN_x000D_
DROP TABLE [dbo].[Sleep]_x000D_
END_x000D_
GO_x000D_
_x000D_
CREATE TABLE [dbo].[Sleep](_x000D_
	[WebSleepID] INT PRIMARY KEY Identity(1,1)_x000D_
	, [UserID] INT NOT NULL FOREIGN KEY REFERENCES [dbo].[LoginTable]_x000D_
	, [LocalSleepID] INT NOT NULL_x000D_
	, [Date] DATE NOT NULL_x000D_
	, [Time] TIME NOT NULL_x000D_
	, [Duration] TIME NOT NULL_x000D_
	, [Quality] INT NULL_x000D_
	, [Notes] VARCHAR(300) NULL_x000D_
	, [Health] VARCHAR(20) NULL_x000D_
);_x000D_
GO</t>
  </si>
  <si>
    <t>Web Table Create(SQL-WebDatabase)</t>
  </si>
  <si>
    <t>Insert Procedure(SQL-WebDatabase)</t>
  </si>
  <si>
    <t>Update Procedure(SQL-WebDatabase)</t>
  </si>
  <si>
    <t>USE [Biometrix]_x000D_
GO_x000D_
if Object_ID('DietInsert') is NOT NULL_x000D_
BEGIN_x000D_
DROP PROCEDURE DietInsert_x000D_
END_x000D_
GO_x000D_
_x000D_
CREATE PROCEDURE DietInsert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Insert Into dbo.Diet_x000D_
([UserID], [LocalDietID], [Date], [FoodType], [Meal], [ServingSize], [Calories], [TotalFat], [SaturatedFat], _x000D_
[TransFat], [Cholesterol], [Sodium], [TotalCarbs], [DietaryFiber], [Sugars], [Protein], [VitaminA], [VitaminB], _x000D_
[Calcium], [Iron], [Notes])_x000D_
Values_x000D_
(@UserID2, @LocalDietID2, @Date, @FoodType, @Meal, @ServingSize, @Calories2, @TotalFat2, @SaturatedFat2, _x000D_
@TransFat2, @Cholesterol2, @Sodium2, @TotalCarbs2, @DietaryFiber2, @Sugars2, @Protein2, @VitaminA2, @VitaminB2, _x000D_
@Calcium2, @Iron2, @Notes)_x000D_
_x000D_
Select [LocalDietID], [WebDietID] From dbo.Diet_x000D_
Where [UserID] = @UserID2 AND [LocalDietID] = @LocalDietID2_x000D_
GO</t>
  </si>
  <si>
    <t>USE [Biometrix]_x000D_
GO_x000D_
if Object_ID('SleepInsert') is NOT NULL_x000D_
BEGIN_x000D_
DROP PROCEDURE SleepInsert_x000D_
END_x000D_
GO_x000D_
_x000D_
CREATE PROCEDURE SleepInsert @UserID VARCHAR(50), @LocalSleepID VARCHAR(50), @Date DATE, _x000D_
@Time TIME, @Duration TIME, @Quality VARCHAR(50), @Notes VARCHAR(300), @Health VARCHAR(20)_x000D_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Insert Into dbo.Sleep_x000D_
([UserID], [LocalSleepID], [Date], [Time], [Duration], [Quality], [Notes], [Health])_x000D_
Values_x000D_
(@UserID2, @LocalSleepID2, @Date, @Time, @Duration, @Quality2, @Notes, @Health)_x000D_
_x000D_
Select [LocalSleepID], [WebSleepID] From dbo.Sleep_x000D_
Where [UserID] = @UserID2 AND [LocalSleepID] = @LocalSleepID2_x000D_
GO</t>
  </si>
  <si>
    <t>USE [Biometrix]_x000D_
GO_x000D_
_x000D_
if Object_ID('[dbo].[Exercise]') is NOT NULL_x000D_
BEGIN_x000D_
DROP TABLE [dbo].[Exercise]_x000D_
END_x000D_
GO_x000D_
_x000D_
CREATE TABLE [dbo].[Exercise](_x000D_
	[WebExerciseID] INT PRIMARY KEY Identity(1,1)_x000D_
	, [UserID] INT NOT NULL FOREIGN KEY REFERENCES [dbo].[LoginTable]_x000D_
	, [LocalExerciseID] INT NOT NULL_x000D_
	, [Title] VARCHAR(255) NULL_x000D_
	, [Type] VARCHAR(140) NULL_x000D_
	, [Minutes] TINYINT NULL_x000D_
	, [Reps] TINYINT NULL_x000D_
	, [Laps] TINYINT NULL_x000D_
	, [Weight] SMALLINT NULL_x000D_
	, [Inty] TINYINT NULL_x000D_
	, [Notes] VARCHAR(255) NULL_x000D_
	, [DateEx] DATE NOT NULL_x000D_
	, [TimeEx] VARCHAR(50) NOT NULL_x000D_
);_x000D_
GO</t>
  </si>
  <si>
    <t>USE [Biometrix]_x000D_
GO_x000D_
if Object_ID('ExerciseInsert') is NOT NULL_x000D_
BEGIN_x000D_
DROP PROCEDURE ExerciseInsert_x000D_
END_x000D_
GO_x000D_
_x000D_
CREATE PROCEDURE ExerciseInsert @UserID VARCHAR(50), @LocalExerciseID VARCHAR(50), @Title VARCHAR(255), _x000D_
@Type VARCHAR(140), @Minutes VARCHAR(50), @Reps VARCHAR(50), @Laps VARCHAR(50), @Weight VARCHAR(50), _x000D_
@Inty VARCHAR(50), @Notes VARCHAR(255), @DateEx DATE, @TimeEx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Insert Into dbo.Exercise_x000D_
([UserID], [LocalExerciseID], [Title], [Type], [Minutes], [Reps], [Laps], [Weight], [Inty], [Notes], [DateEx], _x000D_
[TimeEx])_x000D_
Values_x000D_
(@UserID2, @LocalExerciseID2, @Title, @Type, @Minutes2, @Reps2, @Laps2, @Weight2, @Inty2, @Notes, @DateEx, _x000D_
@TimeEx)_x000D_
_x000D_
Select [LocalExerciseID], [WebExerciseID] From dbo.Exercise_x000D_
Where [UserID] = @UserID2 AND [LocalExerciseID] = @LocalExerciseID2_x000D_
GO</t>
  </si>
  <si>
    <t>case "Exercise":_x000D_
$prep_string = "Exec Exercise$operation";_x000D_
$prep_string = $prep_string . " @UserID = :UserID";_x000D_
$prep_string = $prep_string . ", @LocalExerciseID = :LocalExerciseID";_x000D_
$prep_string = $prep_string . ", @Title = :Title";_x000D_
$prep_string = $prep_string . ", @Type = :Type";_x000D_
$prep_string = $prep_string . ", @Minutes = :Minutes";_x000D_
$prep_string = $prep_string . ", @Reps = :Reps";_x000D_
$prep_string = $prep_string . ", @Laps = :Laps";_x000D_
$prep_string = $prep_string . ", @Weight = :Weight";_x000D_
$prep_string = $prep_string . ", @Inty = :Inty";_x000D_
$prep_string = $prep_string . ", @Notes = :Notes";_x000D_
$prep_string = $prep_string . ", @DateEx = :DateEx";_x000D_
$prep_string = $prep_string . ", @TimeEx = :TimeEx";_x000D_
_x000D_
if ($operation == "Update")_x000D_
{_x000D_
	$prep_string = $prep_string . ", @WebExerciseID = :WebExerciseID";_x000D_
}_x000D_
_x000D_
$stmt_handle = $db_connection-&gt;Prepare($prep_string);_x000D_
_x000D_
$cols = array();_x000D_
$cols["1"] = "UserID";_x000D_
$cols["2"] = "LocalExerciseID";_x000D_
$cols["3"] = "Title";_x000D_
$cols["4"] = "Type";_x000D_
$cols["5"] = "Minutes";_x000D_
$cols["6"] = "Reps";_x000D_
$cols["7"] = "Laps";_x000D_
$cols["8"] = "Weight";_x000D_
$cols["9"] = "Inty";_x000D_
$cols["10"] = "Notes";_x000D_
$cols["11"] = "DateEx";_x000D_
$cols["12"] = "TimeEx";_x000D_
_x000D_
if ($operation == "Update")_x000D_
{_x000D_
	$cols["13"] = "WebExerciseID";_x000D_
}_x000D_
break;</t>
  </si>
  <si>
    <t>case "Mood":_x000D_
$prep_string = "Exec Mood$operation";_x000D_
$prep_string = $prep_string . " @UserID = :UserID";_x000D_
$prep_string = $prep_string . ", @LocalMoodID = :LocalMoodID";_x000D_
$prep_string = $prep_string . ", @Date = :Date";_x000D_
$prep_string = $prep_string . ", @Time = :Time";_x000D_
$prep_string = $prep_string . ", @Depression = :Depression";_x000D_
$prep_string = $prep_string . ", @Elevated = :Elevated";_x000D_
$prep_string = $prep_string . ", @Irritable = :Irritable";_x000D_
$prep_string = $prep_string . ", @Anxiety = :Anxiety";_x000D_
$prep_string = $prep_string . ", @Notes = :Notes";_x000D_
_x000D_
if ($operation == "Update")_x000D_
{_x000D_
	$prep_string = $prep_string . ", @WebMoodID = :WebMoodID";_x000D_
}_x000D_
_x000D_
$stmt_handle = $db_connection-&gt;Prepare($prep_string);_x000D_
_x000D_
$cols = array();_x000D_
$cols["1"] = "UserID";_x000D_
$cols["2"] = "LocalMoodID";_x000D_
$cols["3"] = "Date";_x000D_
$cols["4"] = "Time";_x000D_
$cols["5"] = "Depression";_x000D_
$cols["6"] = "Elevated";_x000D_
$cols["7"] = "Irritable";_x000D_
$cols["8"] = "Anxiety";_x000D_
$cols["9"] = "Notes";_x000D_
_x000D_
if ($operation == "Update")_x000D_
{_x000D_
	$cols["10"] = "WebMoodID";_x000D_
}_x000D_
break;</t>
  </si>
  <si>
    <t>case "Diet":_x000D_
$prep_string = "Exec Diet$operation";_x000D_
$prep_string = $prep_string . " @UserID = :UserID";_x000D_
$prep_string = $prep_string . ", @LocalDietID = :LocalDietID";_x000D_
$prep_string = $prep_string . ", @Date = :Date";_x000D_
$prep_string = $prep_string . ", @FoodType = :FoodType";_x000D_
$prep_string = $prep_string . ", @Meal = :Meal";_x000D_
$prep_string = $prep_string . ", @ServingSize = :ServingSize";_x000D_
$prep_string = $prep_string . ", @Calories = :Calories";_x000D_
$prep_string = $prep_string . ", @TotalFat = :TotalFat";_x000D_
$prep_string = $prep_string . ", @SaturatedFat = :SaturatedFat";_x000D_
$prep_string = $prep_string . ", @TransFat = :TransFat";_x000D_
$prep_string = $prep_string . ", @Cholesterol = :Cholesterol";_x000D_
$prep_string = $prep_string . ", @Sodium = :Sodium";_x000D_
$prep_string = $prep_string . ", @TotalCarbs = :TotalCarbs";_x000D_
$prep_string = $prep_string . ", @DietaryFiber = :DietaryFiber";_x000D_
$prep_string = $prep_string . ", @Sugars = :Sugars";_x000D_
$prep_string = $prep_string . ", @Protein = :Protein";_x000D_
$prep_string = $prep_string . ", @VitaminA = :VitaminA";_x000D_
$prep_string = $prep_string . ", @VitaminB = :VitaminB";_x000D_
$prep_string = $prep_string . ", @Calcium = :Calcium";_x000D_
$prep_string = $prep_string . ", @Iron = :Iron";_x000D_
$prep_string = $prep_string . ", @Notes = :Notes";_x000D_
_x000D_
if ($operation == "Update")_x000D_
{_x000D_
	$prep_string = $prep_string . ", @WebDietID = :WebDietID";_x000D_
}_x000D_
_x000D_
$stmt_handle = $db_connection-&gt;Prepare($prep_string);_x000D_
_x000D_
$cols = array();_x000D_
$cols["1"] = "UserID";_x000D_
$cols["2"] = "LocalDietID";_x000D_
$cols["3"] = "Date";_x000D_
$cols["4"] = "FoodType";_x000D_
$cols["5"] = "Meal";_x000D_
$cols["6"] = "ServingSize";_x000D_
$cols["7"] = "Calories";_x000D_
$cols["8"] = "TotalFat";_x000D_
$cols["9"] = "SaturatedFat";_x000D_
$cols["10"] = "TransFat";_x000D_
$cols["11"] = "Cholesterol";_x000D_
$cols["12"] = "Sodium";_x000D_
$cols["13"] = "TotalCarbs";_x000D_
$cols["14"] = "DietaryFiber";_x000D_
$cols["15"] = "Sugars";_x000D_
$cols["16"] = "Protein";_x000D_
$cols["17"] = "VitaminA";_x000D_
$cols["18"] = "VitaminB";_x000D_
$cols["19"] = "Calcium";_x000D_
$cols["20"] = "Iron";_x000D_
$cols["21"] = "Notes";_x000D_
_x000D_
if ($operation == "Update")_x000D_
{_x000D_
	$cols["22"] = "WebDietID";_x000D_
}_x000D_
break;</t>
  </si>
  <si>
    <t>case "Sleep":_x000D_
$prep_string = "Exec Sleep$operation";_x000D_
$prep_string = $prep_string . " @UserID = :UserID";_x000D_
$prep_string = $prep_string . ", @LocalSleepID = :LocalSleepID";_x000D_
$prep_string = $prep_string . ", @Date = :Date";_x000D_
$prep_string = $prep_string . ", @Time = :Time";_x000D_
$prep_string = $prep_string . ", @Duration = :Duration";_x000D_
$prep_string = $prep_string . ", @Quality = :Quality";_x000D_
$prep_string = $prep_string . ", @Notes = :Notes";_x000D_
$prep_string = $prep_string . ", @Health = :Health";_x000D_
_x000D_
if ($operation == "Update")_x000D_
{_x000D_
	$prep_string = $prep_string . ", @WebSleepID = :WebSleepID";_x000D_
}_x000D_
_x000D_
$stmt_handle = $db_connection-&gt;Prepare($prep_string);_x000D_
_x000D_
$cols = array();_x000D_
$cols["1"] = "UserID";_x000D_
$cols["2"] = "LocalSleepID";_x000D_
$cols["3"] = "Date";_x000D_
$cols["4"] = "Time";_x000D_
$cols["5"] = "Duration";_x000D_
$cols["6"] = "Quality";_x000D_
$cols["7"] = "Notes";_x000D_
$cols["8"] = "Health";_x000D_
_x000D_
if ($operation == "Update")_x000D_
{_x000D_
	$cols["9"] = "WebSleepID";_x000D_
}_x000D_
break;</t>
  </si>
  <si>
    <t>USE [Biometrix]_x000D_
GO_x000D_
_x000D_
if Object_ID('[dbo].[Mood]') is NOT NULL_x000D_
BEGIN_x000D_
DROP TABLE [dbo].[Mood]_x000D_
END_x000D_
GO_x000D_
_x000D_
CREATE TABLE [dbo].[Mood](_x000D_
	[WebMoodID] INT PRIMARY KEY Identity(1,1)_x000D_
	, [UserID] INT NOT NULL FOREIGN KEY REFERENCES [dbo].[LoginTable]_x000D_
	, [LocalMoodID] INT NOT NULL_x000D_
	, [Date] DATE NOT NULL_x000D_
	, [Time] TIME NOT NULL_x000D_
	, [Depression] INT NULL_x000D_
	, [Elevated] INT NULL_x000D_
	, [Irritable] INT NULL_x000D_
	, [Anxiety] INT NULL_x000D_
	, [Notes] VARCHAR(255) NULL_x000D_
);_x000D_
GO</t>
  </si>
  <si>
    <t>USE [Biometrix]_x000D_
GO_x000D_
if Object_ID('MoodInsert') is NOT NULL_x000D_
BEGIN_x000D_
DROP PROCEDURE MoodInsert_x000D_
END_x000D_
GO_x000D_
_x000D_
CREATE PROCEDURE MoodInsert @UserID VARCHAR(50), @LocalMoodID VARCHAR(50), @Date DATE, _x000D_
@Time TIME, @Depression VARCHAR(50), @Elevated VARCHAR(50), @Irritable VARCHAR(50), @Anxiety VARCHAR(50), _x000D_
@Notes VARCHAR(255)_x000D_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Insert Into dbo.Mood_x000D_
([UserID], [LocalMoodID], [Date], [Time], [Depression], [Elevated], [Irritable], [Anxiety], [Notes])_x000D_
Values_x000D_
(@UserID2, @LocalMoodID2, @Date, @Time, @Depression2, @Elevated2, @Irritable2, @Anxiety2, @Notes)_x000D_
_x000D_
Select [LocalMoodID], [WebMoodID] From dbo.Mood_x000D_
Where [UserID] = @UserID2 AND [LocalMoodID] = @LocalMoodID2_x000D_
GO</t>
  </si>
  <si>
    <t>LOCAL_MEDICATION_ID</t>
  </si>
  <si>
    <t>WEB_MEDICATION_ID</t>
  </si>
  <si>
    <t>Medication</t>
  </si>
  <si>
    <t>WebMedicationID</t>
  </si>
  <si>
    <t>LocalMedicationID</t>
  </si>
  <si>
    <t>BrandName</t>
  </si>
  <si>
    <t>Prescriber</t>
  </si>
  <si>
    <t>Dose</t>
  </si>
  <si>
    <t>Instructions</t>
  </si>
  <si>
    <t>Warnings</t>
  </si>
  <si>
    <t>varchar(255) null</t>
  </si>
  <si>
    <t>BRAND_NAME</t>
  </si>
  <si>
    <t>PRESCRIBER</t>
  </si>
  <si>
    <t>DOSE</t>
  </si>
  <si>
    <t>INSTRUCTIONS</t>
  </si>
  <si>
    <t>WARNINGS</t>
  </si>
  <si>
    <t>USE [Biometrix]_x000D_
GO_x000D_
_x000D_
if Object_ID('[dbo].[Medication]') is NOT NULL_x000D_
BEGIN_x000D_
DROP TABLE [dbo].[Medication]_x000D_
END_x000D_
GO_x000D_
_x000D_
CREATE TABLE [dbo].[Medication](_x000D_
	[WebMedicationID] INT PRIMARY KEY Identity(1,1)_x000D_
	, [UserID] INT NOT NULL FOREIGN KEY REFERENCES [dbo].[LoginTable]_x000D_
	, [LocalMedicationID] INT NOT NULL_x000D_
	, [Date] DATE NOT NULL_x000D_
	, [Time] TIME NOT NULL_x000D_
	, [BrandName] VARCHAR(255) NULL_x000D_
	, [Prescriber] VARCHAR(255) NULL_x000D_
	, [Dose] VARCHAR(255) NULL_x000D_
	, [Instructions] VARCHAR(255) NULL_x000D_
	, [Warnings] VARCHAR(255) NULL_x000D_
	, [Notes] VARCHAR(255) NULL_x000D_
);_x000D_
GO</t>
  </si>
  <si>
    <t>USE [Biometrix]_x000D_
GO_x000D_
if Object_ID('MedicationInsert') is NOT NULL_x000D_
BEGIN_x000D_
DROP PROCEDURE MedicationInsert_x000D_
END_x000D_
GO_x000D_
_x000D_
CREATE PROCEDURE MedicationInsert @UserID VARCHAR(50), @LocalMedicationID VARCHAR(50), _x000D_
@Date DATE, @Time TIME, @BrandName VARCHAR(255), @Prescriber VARCHAR(255), @Dose VARCHAR(255), @Instructions VARCHAR(255), _x000D_
@Warnings VARCHAR(255), @Notes VARCHAR(255)_x000D_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Insert Into dbo.Medication_x000D_
([UserID], [LocalMedicationID], [Date], [Time], [BrandName], [Prescriber], [Dose], [Instructions], [Warnings], _x000D_
[Notes])_x000D_
Values_x000D_
(@UserID2, @LocalMedicationID2, @Date, @Time, @BrandName, @Prescriber, @Dose, @Instructions, @Warnings, _x000D_
@Notes)_x000D_
_x000D_
Select [LocalMedicationID], [WebMedicationID] From dbo.Medication_x000D_
Where [UserID] = @UserID2 AND [LocalMedicationID] = @LocalMedicationID2_x000D_
GO</t>
  </si>
  <si>
    <t>case "Medication":_x000D_
$prep_string = "Exec Medication$operation";_x000D_
$prep_string = $prep_string . " @UserID = :UserID";_x000D_
$prep_string = $prep_string . ", @LocalMedicationID = :LocalMedicationID";_x000D_
$prep_string = $prep_string . ", @Date = :Date";_x000D_
$prep_string = $prep_string . ", @Time = :Time";_x000D_
$prep_string = $prep_string . ", @BrandName = :BrandName";_x000D_
$prep_string = $prep_string . ", @Prescriber = :Prescriber";_x000D_
$prep_string = $prep_string . ", @Dose = :Dose";_x000D_
$prep_string = $prep_string . ", @Instructions = :Instructions";_x000D_
$prep_string = $prep_string . ", @Warnings = :Warnings";_x000D_
$prep_string = $prep_string . ", @Notes = :Notes";_x000D_
_x000D_
if ($operation == "Update")_x000D_
{_x000D_
	$prep_string = $prep_string . ", @WebMedicationID = :WebMedicationID";_x000D_
}_x000D_
_x000D_
$stmt_handle = $db_connection-&gt;Prepare($prep_string);_x000D_
_x000D_
$cols = array();_x000D_
$cols["1"] = "UserID";_x000D_
$cols["2"] = "LocalMedicationID";_x000D_
$cols["3"] = "Date";_x000D_
$cols["4"] = "Time";_x000D_
$cols["5"] = "BrandName";_x000D_
$cols["6"] = "Prescriber";_x000D_
$cols["7"] = "Dose";_x000D_
$cols["8"] = "Instructions";_x000D_
$cols["9"] = "Warnings";_x000D_
$cols["10"] = "Notes";_x000D_
_x000D_
if ($operation == "Update")_x000D_
{_x000D_
	$cols["11"] = "WebMedicationID";_x000D_
}_x000D_
break;</t>
  </si>
  <si>
    <t>public static final String TABLE_NAME = "Mood";_x000D_
public static final String LOCAL_MOOD_ID = "LocalMoodID";_x000D_
public static final String USER_NAME = "UserName";_x000D_
public static final String WEB_MOOD_ID = "WebMoodID";_x000D_
public static final String DATE = "Date";_x000D_
public static final String TIME = "Time";_x000D_
public static final String DEP = "Depression";_x000D_
public static final String ELEV = "Elevated";_x000D_
public static final String IRR = "Irritable";_x000D_
public static final String ANX = "Anxiety";_x000D_
public static final String NOTE = "Notes";</t>
  </si>
  <si>
    <t>public static final String[] cols = {LOCAL_MOOD_ID, USER_NAME, WEB_MOOD_ID, DATE, _x000D_
TIME, DEP, ELEV, IRR, ANX, NOTE};</t>
  </si>
  <si>
    <t>public static final String TABLE_NAME = "Diet";_x000D_
public static final String LOCAL_DIET_ID = "LocalDietID";_x000D_
public static final String USER_NAME = "UserName";_x000D_
public static final String WEB_DIET_ID = "WebDietID";_x000D_
public static final String DATE = "Date";_x000D_
public static final String TYPE = "FoodType";_x000D_
public static final String MEAL = "Meal";_x000D_
public static final String SERVING = "ServingSize";_x000D_
public static final String CALORIES = "Calories";_x000D_
public static final String TOTALFAT = "TotalFat";_x000D_
public static final String SATFAT = "SaturatedFat";_x000D_
public static final String TRANSFAT = "TransFat";_x000D_
public static final String CHOLESTEROL = "Cholesterol";_x000D_
public static final String SODIUM = "Sodium";_x000D_
public static final String TOTALCARBS = "TotalCarbs";_x000D_
public static final String FIBER = "DietaryFiber";_x000D_
public static final String SUGARS = "Sugars";_x000D_
public static final String PROTEIN = "Protein";_x000D_
public static final String VITAMINA = "VitaminA";_x000D_
public static final String VITAMINB = "VitaminB";_x000D_
public static final String CALCIUM = "Calcium";_x000D_
public static final String IRON = "Iron";_x000D_
public static final String NOTE = "Notes";</t>
  </si>
  <si>
    <t>public static final String[] cols = {LOCAL_DIET_ID, USER_NAME, WEB_DIET_ID, DATE, _x000D_
TYPE, MEAL, SERVING, CALORIES, TOTALFAT, SATFAT, TRANSFAT, CHOLESTEROL, SODIUM, TOTALCARBS, _x000D_
FIBER, SUGARS, PROTEIN, VITAMINA, VITAMINB, CALCIUM, IRON, NOTE};</t>
  </si>
  <si>
    <t>public static final String TABLE_NAME = "Exercise";_x000D_
public static final String LOCAL_EXERCISE_ID = "LocalExerciseID";//ID used for primary key_x000D_
public static final String USER_NAME = "UserName";//Username from shared preferences_x000D_
public static final String WEB_EXERCISE_ID = "WebExerciseID";_x000D_
public static final String TITLE = "Title";//Title will help co-determine the module mode e.g. Simple mode (yay I walked to the fridge), Gainz mode (weight and reps etc.)_x000D_
public static final String TYPE = "Type";//light, cardio, etc._x000D_
public static final String MINUTES = "Minutes";//minutes exercised_x000D_
public static final String REPS = "Reps";//Reps or laps, data significance determined by module mode WHICH IS NOT IMPLEMENTED YET_x000D_
public static final String LAPS = "Laps";_x000D_
public static final String WEIGHT = "Weight";_x000D_
public static final String INTY = "Inty";_x000D_
public static final String NOTES = "Notes";_x000D_
public static final String DATE = "DateEx";_x000D_
public static final String TIME = "TimeEx";</t>
  </si>
  <si>
    <t>public static final String[] columns = {LOCAL_EXERCISE_ID, USER_NAME, WEB_EXERCISE_ID, _x000D_
TITLE, TYPE, MINUTES, REPS, LAPS, WEIGHT, INTY, NOTES, DATE, TIME};</t>
  </si>
  <si>
    <t>public static final String TABLE_NAME = "Sleep";_x000D_
public static final String LOCAL_SLEEP_ID = "LocalSleepID";//The local sleep ID is a unique identifier for each entry on the local database_x000D_
public static final String USER_NAME = "UserName";_x000D_
public static final String WEB_SLEEP_ID = "WebSleepID";//The web sleep ID is a unique identifier for each entry on the BIOMETRIX database_x000D_
public static final String DATE = "Date";_x000D_
public static final String TIME = "Time";_x000D_
public static final String DURATION = "Duration";_x000D_
public static final String QUALITY = "Quality";_x000D_
public static final String NOTES = "Notes";_x000D_
public static final String HEALTH = "Health";</t>
  </si>
  <si>
    <t>public static final String[] columns = {LOCAL_SLEEP_ID, USER_NAME, WEB_SLEEP_ID, DATE, _x000D_
TIME, DURATION, QUALITY, NOTES, HEALTH};</t>
  </si>
  <si>
    <t>public static final String TABLE_NAME = "Medication";_x000D_
public static final String LOCAL_MEDICATION_ID = "LocalMedicationID";_x000D_
public static final String USER_NAME = "UserName";_x000D_
public static final String WEB_MEDICATION_ID = "WebMedicationID";_x000D_
public static final String DATE = "Date";_x000D_
public static final String TIME = "Time";_x000D_
public static final String BRAND_NAME = "BrandName";_x000D_
public static final String PRESCRIBER = "Prescriber";_x000D_
public static final String DOSE = "Dose";_x000D_
public static final String INSTRUCTIONS = "Instructions";_x000D_
public static final String WARNINGS = "Warnings";_x000D_
public static final String NOTES = "Notes";</t>
  </si>
  <si>
    <t>public static final String[] columns = {LOCAL_MEDICATION_ID, USER_NAME, WEB_MEDICATION_ID, _x000D_
DATE, TIME, BRAND_NAME, PRESCRIBER, DOSE, INSTRUCTIONS, WARNINGS, NOTES};</t>
  </si>
  <si>
    <t>Insert/Update Procedure(PHP - Webserver)</t>
  </si>
  <si>
    <t>Delete Procedure(SQL-WebDatabase)</t>
  </si>
  <si>
    <t>integer primary key autoincrement</t>
  </si>
  <si>
    <t>return "CREATE TABLE " + TABLE_NAME + " ( " +_x000D_
LOCAL_DIET_ID + " integer primary key autoincrement, " +_x000D_
USER_NAME + " varchar(50) Not Null, " +_x000D_
WEB_DIET_ID + " int Null, " +_x000D_
DATE + " date Not Null, " +_x000D_
TYPE + " varchar(40) Not Null, " +_x000D_
MEAL + " varchar(20) Null, " +_x000D_
SERVING + " varchar(20) Null, " +_x000D_
CALORIES + " int Null, " +_x000D_
TOTALFAT + " int Null, " +_x000D_
SATFAT + " int Null, " +_x000D_
TRANSFAT + " int Null, " +_x000D_
CHOLESTEROL + " int Null, " +_x000D_
SODIUM + " int Null, " +_x000D_
TOTALCARBS + " int Null, " +_x000D_
FIBER + " int Null, " +_x000D_
SUGARS + " int Null, " +_x000D_
PROTEIN + " int Null, " +_x000D_
VITAMINA + " int Null, " +_x000D_
VITAMINB + " int Null, " +_x000D_
CALCIUM + " int Null, " +_x000D_
IRON + " int Null, " +_x000D_
NOTE + " varchar(255)" +");";</t>
  </si>
  <si>
    <t>return "CREATE TABLE " + TABLE_NAME + " ( " +_x000D_
LOCAL_EXERCISE_ID + " integer primary key autoincrement, " +_x000D_
USER_NAME + " varchar(50) Not Null, " +_x000D_
WEB_EXERCISE_ID + " int Null, " +_x000D_
TITLE + " varchar(255), " +_x000D_
TYPE + " varchar(140), " +_x000D_
MINUTES + " tinyint, " +_x000D_
REPS + " tinyint, " +_x000D_
LAPS + " tinyint, " +_x000D_
WEIGHT + " smallint, " +_x000D_
INTY + " tinyint, " +_x000D_
NOTES + " varchar(255), " +_x000D_
DATE + " date, " +_x000D_
TIME + " varchar(50)" +");";</t>
  </si>
  <si>
    <t>return "CREATE TABLE " + TABLE_NAME + " ( " +_x000D_
LOCAL_SLEEP_ID + " integer primary key autoincrement, " +_x000D_
USER_NAME + " varchar(50) Not Null, " +_x000D_
WEB_SLEEP_ID + " int Null, " +_x000D_
DATE + " date, " +_x000D_
TIME + " time Not Null, " +_x000D_
DURATION + " time Not Null, " +_x000D_
QUALITY + " int Not Null, " +_x000D_
NOTES + " varchar(300), " +_x000D_
HEALTH + " varchar(20)" +");";</t>
  </si>
  <si>
    <t>return "CREATE TABLE " + TABLE_NAME + " ( " +_x000D_
LOCAL_MEDICATION_ID + " integer primary key autoincrement, " +_x000D_
USER_NAME + " varchar(50) Not Null, " +_x000D_
WEB_MEDICATION_ID + " int Null, " +_x000D_
DATE + " date, " +_x000D_
TIME + " time Not Null, " +_x000D_
BRAND_NAME + " varchar(255) null, " +_x000D_
PRESCRIBER + " varchar(255) null, " +_x000D_
DOSE + " varchar(255) null, " +_x000D_
INSTRUCTIONS + " varchar(255) null, " +_x000D_
WARNINGS + " varchar(255) null, " +_x000D_
NOTES + " varchar(300)" +");";</t>
  </si>
  <si>
    <t>return "CREATE TABLE " + TABLE_NAME + " ( " +_x000D_
LOCAL_MOOD_ID + " integer primary key autoincrement, " +_x000D_
USER_NAME + " varchar(50) Not Null, " +_x000D_
WEB_MOOD_ID + " int Null, " +_x000D_
DATE + " date Not Null, " +_x000D_
TIME + " time Not Null, " +_x000D_
DEP + " int Null, " +_x000D_
ELEV + " int Null, " +_x000D_
IRR + " int Null, " +_x000D_
ANX + " int Null, " +_x000D_
NOTE + " varchar(255)" +");";</t>
  </si>
  <si>
    <t>USE [Biometrix]_x000D_
GO_x000D_
if Object_ID('MoodUpdate') is NOT NULL_x000D_
BEGIN_x000D_
DROP PROCEDURE MoodUpdate_x000D_
END_x000D_
GO_x000D_
_x000D_
CREATE PROCEDURE MoodUpdate @UserID VARCHAR(50), @LocalMoodID VARCHAR(50), @Date DATE, _x000D_
@Time TIME, @Depression VARCHAR(50), @Elevated VARCHAR(50), @Irritable VARCHAR(50), @Anxiety VARCHAR(50), _x000D_
@Notes VARCHAR(255), @WebMoodID VARCHAR(50)_x000D_
AS_x000D_
_x000D_
DECLARE @UserID2 INT;_x000D_
SET @UserID2 = TRY_CONVERT(INT, @UserID);_x000D_
IF @UserID = ''_x000D_
BEGIN_x000D_
	SET @UserID2 = NULL;_x000D_
END_x000D_
_x000D_
DECLARE @LocalMoodID2 INT;_x000D_
SET @LocalMoodID2 = TRY_CONVERT(INT, @LocalMoodID);_x000D_
IF @LocalMoodID = ''_x000D_
BEGIN_x000D_
	SET @LocalMoodID2 = NULL;_x000D_
END_x000D_
_x000D_
DECLARE @Depression2 INT;_x000D_
SET @Depression2 = TRY_CONVERT(INT, @Depression);_x000D_
IF @Depression = ''_x000D_
BEGIN_x000D_
	SET @Depression2 = NULL;_x000D_
END_x000D_
_x000D_
DECLARE @Elevated2 INT;_x000D_
SET @Elevated2 = TRY_CONVERT(INT, @Elevated);_x000D_
IF @Elevated = ''_x000D_
BEGIN_x000D_
	SET @Elevated2 = NULL;_x000D_
END_x000D_
_x000D_
DECLARE @Irritable2 INT;_x000D_
SET @Irritable2 = TRY_CONVERT(INT, @Irritable);_x000D_
IF @Irritable = ''_x000D_
BEGIN_x000D_
	SET @Irritable2 = NULL;_x000D_
END_x000D_
_x000D_
DECLARE @Anxiety2 INT;_x000D_
SET @Anxiety2 = TRY_CONVERT(INT, @Anxiety);_x000D_
IF @Anxiety = ''_x000D_
BEGIN_x000D_
	SET @Anxiety2 = NULL;_x000D_
END_x000D_
_x000D_
DECLARE @WebMoodID2 INT;_x000D_
SET @WebMoodID2 = TRY_CONVERT(INT, @WebMoodID);_x000D_
IF @WebMoodID = ''_x000D_
BEGIN_x000D_
	SET @WebMoodID2 = NULL;_x000D_
END_x000D_
_x000D_
Update dbo.Mood_x000D_
SET [LocalMoodID] = @LocalMoodID2, [Date] = @Date, [Time] = @Time, [Depression] = @Depression2, [Elevated] = @Elevated2, _x000D_
[Irritable] = @Irritable2, [Anxiety] = @Anxiety2, [Notes] = @Notes_x000D_
Where [WebMoodID] = @WebMoodID2 AND [UserID] = @UserID2_x000D_
Select @@RowCount as NumRows_x000D_
GO</t>
  </si>
  <si>
    <t>USE [Biometrix]_x000D_
GO_x000D_
if Object_ID('DietUpdate') is NOT NULL_x000D_
BEGIN_x000D_
DROP PROCEDURE DietUpdate_x000D_
END_x000D_
GO_x000D_
_x000D_
CREATE PROCEDURE DietUpdate @UserID VARCHAR(50), @LocalDietID VARCHAR(50), @Date DATE, _x000D_
@FoodType VARCHAR(40), @Meal VARCHAR(20), @ServingSize VARCHAR(20), @Calories VARCHAR(50), @TotalFat VARCHAR(50), _x000D_
@SaturatedFat VARCHAR(50), @TransFat VARCHAR(50), @Cholesterol VARCHAR(50), @Sodium VARCHAR(50), _x000D_
@TotalCarbs VARCHAR(50), @DietaryFiber VARCHAR(50), @Sugars VARCHAR(50), @Protein VARCHAR(50), _x000D_
@VitaminA VARCHAR(50), @VitaminB VARCHAR(50), @Calcium VARCHAR(50), @Iron VARCHAR(50), @Notes VARCHAR(255), _x000D_
@WebDietID VARCHAR(50)_x000D_
AS_x000D_
_x000D_
DECLARE @UserID2 INT;_x000D_
SET @UserID2 = TRY_CONVERT(INT, @UserID);_x000D_
IF @UserID = ''_x000D_
BEGIN_x000D_
	SET @UserID2 = NULL;_x000D_
END_x000D_
_x000D_
DECLARE @LocalDietID2 INT;_x000D_
SET @LocalDietID2 = TRY_CONVERT(INT, @LocalDietID);_x000D_
IF @LocalDietID = ''_x000D_
BEGIN_x000D_
	SET @LocalDietID2 = NULL;_x000D_
END_x000D_
_x000D_
DECLARE @Calories2 INT;_x000D_
SET @Calories2 = TRY_CONVERT(INT, @Calories);_x000D_
IF @Calories = ''_x000D_
BEGIN_x000D_
	SET @Calories2 = NULL;_x000D_
END_x000D_
_x000D_
DECLARE @TotalFat2 INT;_x000D_
SET @TotalFat2 = TRY_CONVERT(INT, @TotalFat);_x000D_
IF @TotalFat = ''_x000D_
BEGIN_x000D_
	SET @TotalFat2 = NULL;_x000D_
END_x000D_
_x000D_
DECLARE @SaturatedFat2 INT;_x000D_
SET @SaturatedFat2 = TRY_CONVERT(INT, @SaturatedFat);_x000D_
IF @SaturatedFat = ''_x000D_
BEGIN_x000D_
	SET @SaturatedFat2 = NULL;_x000D_
END_x000D_
_x000D_
DECLARE @TransFat2 INT;_x000D_
SET @TransFat2 = TRY_CONVERT(INT, @TransFat);_x000D_
IF @TransFat = ''_x000D_
BEGIN_x000D_
	SET @TransFat2 = NULL;_x000D_
END_x000D_
_x000D_
DECLARE @Cholesterol2 INT;_x000D_
SET @Cholesterol2 = TRY_CONVERT(INT, @Cholesterol);_x000D_
IF @Cholesterol = ''_x000D_
BEGIN_x000D_
	SET @Cholesterol2 = NULL;_x000D_
END_x000D_
_x000D_
DECLARE @Sodium2 INT;_x000D_
SET @Sodium2 = TRY_CONVERT(INT, @Sodium);_x000D_
IF @Sodium = ''_x000D_
BEGIN_x000D_
	SET @Sodium2 = NULL;_x000D_
END_x000D_
_x000D_
DECLARE @TotalCarbs2 INT;_x000D_
SET @TotalCarbs2 = TRY_CONVERT(INT, @TotalCarbs);_x000D_
IF @TotalCarbs = ''_x000D_
BEGIN_x000D_
	SET @TotalCarbs2 = NULL;_x000D_
END_x000D_
_x000D_
DECLARE @DietaryFiber2 INT;_x000D_
SET @DietaryFiber2 = TRY_CONVERT(INT, @DietaryFiber);_x000D_
IF @DietaryFiber = ''_x000D_
BEGIN_x000D_
	SET @DietaryFiber2 = NULL;_x000D_
END_x000D_
_x000D_
DECLARE @Sugars2 INT;_x000D_
SET @Sugars2 = TRY_CONVERT(INT, @Sugars);_x000D_
IF @Sugars = ''_x000D_
BEGIN_x000D_
	SET @Sugars2 = NULL;_x000D_
END_x000D_
_x000D_
DECLARE @Protein2 INT;_x000D_
SET @Protein2 = TRY_CONVERT(INT, @Protein);_x000D_
IF @Protein = ''_x000D_
BEGIN_x000D_
	SET @Protein2 = NULL;_x000D_
END_x000D_
_x000D_
DECLARE @VitaminA2 INT;_x000D_
SET @VitaminA2 = TRY_CONVERT(INT, @VitaminA);_x000D_
IF @VitaminA = ''_x000D_
BEGIN_x000D_
	SET @VitaminA2 = NULL;_x000D_
END_x000D_
_x000D_
DECLARE @VitaminB2 INT;_x000D_
SET @VitaminB2 = TRY_CONVERT(INT, @VitaminB);_x000D_
IF @VitaminB = ''_x000D_
BEGIN_x000D_
	SET @VitaminB2 = NULL;_x000D_
END_x000D_
_x000D_
DECLARE @Calcium2 INT;_x000D_
SET @Calcium2 = TRY_CONVERT(INT, @Calcium);_x000D_
IF @Calcium = ''_x000D_
BEGIN_x000D_
	SET @Calcium2 = NULL;_x000D_
END_x000D_
_x000D_
DECLARE @Iron2 INT;_x000D_
SET @Iron2 = TRY_CONVERT(INT, @Iron);_x000D_
IF @Iron = ''_x000D_
BEGIN_x000D_
	SET @Iron2 = NULL;_x000D_
END_x000D_
_x000D_
DECLARE @WebDietID2 INT;_x000D_
SET @WebDietID2 = TRY_CONVERT(INT, @WebDietID);_x000D_
IF @WebDietID = ''_x000D_
BEGIN_x000D_
	SET @WebDietID2 = NULL;_x000D_
END_x000D_
_x000D_
Update dbo.Diet_x000D_
SET [LocalDietID] = @LocalDietID2, [Date] = @Date, [FoodType] = @FoodType, [Meal] = @Meal, [ServingSize] = @ServingSize, _x000D_
[Calories] = @Calories2, [TotalFat] = @TotalFat2, [SaturatedFat] = @SaturatedFat2, [TransFat] = @TransFat2, _x000D_
[Cholesterol] = @Cholesterol2, [Sodium] = @Sodium2, [TotalCarbs] = @TotalCarbs2, [DietaryFiber] = @DietaryFiber2, _x000D_
[Sugars] = @Sugars2, [Protein] = @Protein2, [VitaminA] = @VitaminA2, [VitaminB] = @VitaminB2, [Calcium] = @Calcium2, _x000D_
[Iron] = @Iron2, [Notes] = @Notes_x000D_
Where [WebDietID] = @WebDietID2 AND [UserID] = @UserID2_x000D_
Select @@RowCount as NumRows_x000D_
GO</t>
  </si>
  <si>
    <t>USE [Biometrix]_x000D_
GO_x000D_
if Object_ID('ExerciseUpdate') is NOT NULL_x000D_
BEGIN_x000D_
DROP PROCEDURE ExerciseUpdate_x000D_
END_x000D_
GO_x000D_
_x000D_
CREATE PROCEDURE ExerciseUpdate @UserID VARCHAR(50), @LocalExerciseID VARCHAR(50), @Title VARCHAR(255), _x000D_
@Type VARCHAR(140), @Minutes VARCHAR(50), @Reps VARCHAR(50), @Laps VARCHAR(50), @Weight VARCHAR(50), _x000D_
@Inty VARCHAR(50), @Notes VARCHAR(255), @DateEx DATE, @TimeEx VARCHAR(50), @WebExerciseID VARCHAR(50)_x000D_
AS_x000D_
_x000D_
DECLARE @UserID2 INT;_x000D_
SET @UserID2 = TRY_CONVERT(INT, @UserID);_x000D_
IF @UserID = ''_x000D_
BEGIN_x000D_
	SET @UserID2 = NULL;_x000D_
END_x000D_
_x000D_
DECLARE @LocalExerciseID2 INT;_x000D_
SET @LocalExerciseID2 = TRY_CONVERT(INT, @LocalExerciseID);_x000D_
IF @LocalExerciseID = ''_x000D_
BEGIN_x000D_
	SET @LocalExerciseID2 = NULL;_x000D_
END_x000D_
_x000D_
DECLARE @Minutes2 TINYINT;_x000D_
SET @Minutes2 = TRY_CONVERT(TINYINT, @Minutes);_x000D_
IF @Minutes = ''_x000D_
BEGIN_x000D_
	SET @Minutes2 = NULL;_x000D_
END_x000D_
_x000D_
DECLARE @Reps2 TINYINT;_x000D_
SET @Reps2 = TRY_CONVERT(TINYINT, @Reps);_x000D_
IF @Reps = ''_x000D_
BEGIN_x000D_
	SET @Reps2 = NULL;_x000D_
END_x000D_
_x000D_
DECLARE @Laps2 TINYINT;_x000D_
SET @Laps2 = TRY_CONVERT(TINYINT, @Laps);_x000D_
IF @Laps = ''_x000D_
BEGIN_x000D_
	SET @Laps2 = NULL;_x000D_
END_x000D_
_x000D_
DECLARE @Weight2 SMALLINT;_x000D_
SET @Weight2 = TRY_CONVERT(SMALLINT, @Weight);_x000D_
IF @Weight = ''_x000D_
BEGIN_x000D_
	SET @Weight2 = NULL;_x000D_
END_x000D_
_x000D_
DECLARE @Inty2 TINYINT;_x000D_
SET @Inty2 = TRY_CONVERT(TINYINT, @Inty);_x000D_
IF @Inty = ''_x000D_
BEGIN_x000D_
	SET @Inty2 = NULL;_x000D_
END_x000D_
_x000D_
DECLARE @WebExerciseID2 INT;_x000D_
SET @WebExerciseID2 = TRY_CONVERT(INT, @WebExerciseID);_x000D_
IF @WebExerciseID = ''_x000D_
BEGIN_x000D_
	SET @WebExerciseID2 = NULL;_x000D_
END_x000D_
_x000D_
Update dbo.Exercise_x000D_
SET [LocalExerciseID] = @LocalExerciseID2, [Title] = @Title, [Type] = @Type, [Minutes] = @Minutes2, [Reps] = @Reps2, _x000D_
[Laps] = @Laps2, [Weight] = @Weight2, [Inty] = @Inty2, [Notes] = @Notes, [DateEx] = @DateEx, [TimeEx] = @TimeEx_x000D_
Where [WebExerciseID] = @WebExerciseID2 AND [UserID] = @UserID2_x000D_
Select @@RowCount as NumRows_x000D_
GO</t>
  </si>
  <si>
    <t>USE [Biometrix]_x000D_
GO_x000D_
if Object_ID('SleepUpdate') is NOT NULL_x000D_
BEGIN_x000D_
DROP PROCEDURE SleepUpdate_x000D_
END_x000D_
GO_x000D_
_x000D_
CREATE PROCEDURE SleepUpdate @UserID VARCHAR(50), @LocalSleepID VARCHAR(50), @Date DATE, _x000D_
@Time TIME, @Duration TIME, @Quality VARCHAR(50), @Notes VARCHAR(300), @Health VARCHAR(20), @WebSleepID VARCHAR(50)_x000D_
AS_x000D_
_x000D_
DECLARE @UserID2 INT;_x000D_
SET @UserID2 = TRY_CONVERT(INT, @UserID);_x000D_
IF @UserID = ''_x000D_
BEGIN_x000D_
	SET @UserID2 = NULL;_x000D_
END_x000D_
_x000D_
DECLARE @LocalSleepID2 INT;_x000D_
SET @LocalSleepID2 = TRY_CONVERT(INT, @LocalSleepID);_x000D_
IF @LocalSleepID = ''_x000D_
BEGIN_x000D_
	SET @LocalSleepID2 = NULL;_x000D_
END_x000D_
_x000D_
DECLARE @Quality2 INT;_x000D_
SET @Quality2 = TRY_CONVERT(INT, @Quality);_x000D_
IF @Quality = ''_x000D_
BEGIN_x000D_
	SET @Quality2 = NULL;_x000D_
END_x000D_
_x000D_
DECLARE @WebSleepID2 INT;_x000D_
SET @WebSleepID2 = TRY_CONVERT(INT, @WebSleepID);_x000D_
IF @WebSleepID = ''_x000D_
BEGIN_x000D_
	SET @WebSleepID2 = NULL;_x000D_
END_x000D_
_x000D_
Update dbo.Sleep_x000D_
SET [LocalSleepID] = @LocalSleepID2, [Date] = @Date, [Time] = @Time, [Duration] = @Duration, [Quality] = @Quality2, _x000D_
[Notes] = @Notes, [Health] = @Health_x000D_
Where [WebSleepID] = @WebSleepID2 AND [UserID] = @UserID2_x000D_
Select @@RowCount as NumRows_x000D_
GO</t>
  </si>
  <si>
    <t>USE [Biometrix]_x000D_
GO_x000D_
if Object_ID('MedicationUpdate') is NOT NULL_x000D_
BEGIN_x000D_
DROP PROCEDURE MedicationUpdate_x000D_
END_x000D_
GO_x000D_
_x000D_
CREATE PROCEDURE MedicationUpdate @UserID VARCHAR(50), @LocalMedicationID VARCHAR(50), _x000D_
@Date DATE, @Time TIME, @BrandName VARCHAR(255), @Prescriber VARCHAR(255), @Dose VARCHAR(255), @Instructions VARCHAR(255), _x000D_
@Warnings VARCHAR(255), @Notes VARCHAR(255), @WebMedicationID VARCHAR(50)_x000D_
AS_x000D_
_x000D_
DECLARE @UserID2 INT;_x000D_
SET @UserID2 = TRY_CONVERT(INT, @UserID);_x000D_
IF @UserID = ''_x000D_
BEGIN_x000D_
	SET @UserID2 = NULL;_x000D_
END_x000D_
_x000D_
DECLARE @LocalMedicationID2 INT;_x000D_
SET @LocalMedicationID2 = TRY_CONVERT(INT, @LocalMedicationID);_x000D_
IF @LocalMedicationID = ''_x000D_
BEGIN_x000D_
	SET @LocalMedicationID2 = NULL;_x000D_
END_x000D_
_x000D_
DECLARE @WebMedicationID2 INT;_x000D_
SET @WebMedicationID2 = TRY_CONVERT(INT, @WebMedicationID);_x000D_
IF @WebMedicationID = ''_x000D_
BEGIN_x000D_
	SET @WebMedicationID2 = NULL;_x000D_
END_x000D_
_x000D_
Update dbo.Medication_x000D_
SET [LocalMedicationID] = @LocalMedicationID2, [Date] = @Date, [Time] = @Time, [BrandName] = @BrandName, _x000D_
[Prescriber] = @Prescriber, [Dose] = @Dose, [Instructions] = @Instructions, [Warnings] = @Warnings, [Notes] = @Notes_x000D_
Where [WebMedicationID] = @WebMedicationID2 AND [UserID] = @UserID2_x000D_
Select @@RowCount as NumRows_x000D_
GO</t>
  </si>
  <si>
    <t>USE [Biometrix]_x000D_
GO_x000D_
if Object_ID('MoodDelete') is NOT NULL_x000D_
BEGIN_x000D_
DROP PROCEDURE MoodDelete_x000D_
END_x000D_
GO_x000D_
_x000D_
CREATE PROCEDURE MoodDelete @UserID VARCHAR(50), @WebMoodID VARCHAR(50)_x000D_
AS_x000D_
_x000D_
DECLARE @UserID2 INT;_x000D_
SET @UserID2 = TRY_CONVERT(INT, @UserID);_x000D_
IF @UserID = ''_x000D_
BEGIN_x000D_
	SET @UserID2 = NULL;_x000D_
END_x000D_
_x000D_
DECLARE @WebMoodID2 INT;_x000D_
SET @WebMoodID2 = TRY_CONVERT(INT, @WebMoodID);_x000D_
IF @WebMoodID = ''_x000D_
BEGIN_x000D_
	SET @WebMoodID2 = NULL;_x000D_
END_x000D_
_x000D_
Delete dbo.Mood_x000D_
WHERE [WebMoodID] = @WebMoodID2 AND [UserID] = @UserID2Select @@RowCount as NumRows_x000D_
GO</t>
  </si>
  <si>
    <t>case "Mood":_x000D_
$prep_string = "Exec MoodDelete";_x000D_
$prep_string = $prep_string . " @WebMoodID = :WebMoodID";_x000D_
$prep_string = $prep_string . ", @UserID = :UserID";_x000D_
_x000D_
$stmt_handle = $db_connection-&gt;Prepare($prep_string);_x000D_
_x000D_
$cols = array();_x000D_
$cols["1"] = "WebMoodID";_x000D_
$cols["2"] = "UserID";_x000D_
break;</t>
  </si>
  <si>
    <t>Delete Procedure(PHP - Webserver)</t>
  </si>
  <si>
    <t>USE [Biometrix]_x000D_
GO_x000D_
if Object_ID('DietDelete') is NOT NULL_x000D_
BEGIN_x000D_
DROP PROCEDURE DietDelete_x000D_
END_x000D_
GO_x000D_
_x000D_
CREATE PROCEDURE DietDelete @UserID VARCHAR(50), @WebDietID VARCHAR(50)_x000D_
AS_x000D_
_x000D_
DECLARE @UserID2 INT;_x000D_
SET @UserID2 = TRY_CONVERT(INT, @UserID);_x000D_
IF @UserID = ''_x000D_
BEGIN_x000D_
	SET @UserID2 = NULL;_x000D_
END_x000D_
_x000D_
DECLARE @WebDietID2 INT;_x000D_
SET @WebDietID2 = TRY_CONVERT(INT, @WebDietID);_x000D_
IF @WebDietID = ''_x000D_
BEGIN_x000D_
	SET @WebDietID2 = NULL;_x000D_
END_x000D_
_x000D_
Delete dbo.Diet_x000D_
WHERE [WebDietID] = @WebDietID2 AND [UserID] = @UserID2Select @@RowCount as NumRows_x000D_
GO</t>
  </si>
  <si>
    <t>case "Diet":_x000D_
$prep_string = "Exec DietDelete";_x000D_
$prep_string = $prep_string . " @WebDietID = :WebDietID";_x000D_
$prep_string = $prep_string . ", @UserID = :UserID";_x000D_
_x000D_
$stmt_handle = $db_connection-&gt;Prepare($prep_string);_x000D_
_x000D_
$cols = array();_x000D_
$cols["1"] = "WebDietID";_x000D_
$cols["2"] = "UserID";_x000D_
break;</t>
  </si>
  <si>
    <t>USE [Biometrix]_x000D_
GO_x000D_
if Object_ID('ExerciseDelete') is NOT NULL_x000D_
BEGIN_x000D_
DROP PROCEDURE ExerciseDelete_x000D_
END_x000D_
GO_x000D_
_x000D_
CREATE PROCEDURE ExerciseDelete @UserID VARCHAR(50), @WebExerciseID VARCHAR(50)_x000D_
AS_x000D_
_x000D_
DECLARE @UserID2 INT;_x000D_
SET @UserID2 = TRY_CONVERT(INT, @UserID);_x000D_
IF @UserID = ''_x000D_
BEGIN_x000D_
	SET @UserID2 = NULL;_x000D_
END_x000D_
_x000D_
DECLARE @WebExerciseID2 INT;_x000D_
SET @WebExerciseID2 = TRY_CONVERT(INT, @WebExerciseID);_x000D_
IF @WebExerciseID = ''_x000D_
BEGIN_x000D_
	SET @WebExerciseID2 = NULL;_x000D_
END_x000D_
_x000D_
Delete dbo.Exercise_x000D_
WHERE [WebExerciseID] = @WebExerciseID2 AND [UserID] = @UserID2Select @@RowCount as NumRows_x000D_
GO</t>
  </si>
  <si>
    <t>case "Exercise":_x000D_
$prep_string = "Exec ExerciseDelete";_x000D_
$prep_string = $prep_string . " @WebExerciseID = :WebExerciseID";_x000D_
$prep_string = $prep_string . ", @UserID = :UserID";_x000D_
_x000D_
$stmt_handle = $db_connection-&gt;Prepare($prep_string);_x000D_
_x000D_
$cols = array();_x000D_
$cols["1"] = "WebExerciseID";_x000D_
$cols["2"] = "UserID";_x000D_
break;</t>
  </si>
  <si>
    <t>USE [Biometrix]_x000D_
GO_x000D_
if Object_ID('SleepDelete') is NOT NULL_x000D_
BEGIN_x000D_
DROP PROCEDURE SleepDelete_x000D_
END_x000D_
GO_x000D_
_x000D_
CREATE PROCEDURE SleepDelete @UserID VARCHAR(50), @WebSleepID VARCHAR(50)_x000D_
AS_x000D_
_x000D_
DECLARE @UserID2 INT;_x000D_
SET @UserID2 = TRY_CONVERT(INT, @UserID);_x000D_
IF @UserID = ''_x000D_
BEGIN_x000D_
	SET @UserID2 = NULL;_x000D_
END_x000D_
_x000D_
DECLARE @WebSleepID2 INT;_x000D_
SET @WebSleepID2 = TRY_CONVERT(INT, @WebSleepID);_x000D_
IF @WebSleepID = ''_x000D_
BEGIN_x000D_
	SET @WebSleepID2 = NULL;_x000D_
END_x000D_
_x000D_
Delete dbo.Sleep_x000D_
WHERE [WebSleepID] = @WebSleepID2 AND [UserID] = @UserID2Select @@RowCount as NumRows_x000D_
GO</t>
  </si>
  <si>
    <t>case "Sleep":_x000D_
$prep_string = "Exec SleepDelete";_x000D_
$prep_string = $prep_string . " @WebSleepID = :WebSleepID";_x000D_
$prep_string = $prep_string . ", @UserID = :UserID";_x000D_
_x000D_
$stmt_handle = $db_connection-&gt;Prepare($prep_string);_x000D_
_x000D_
$cols = array();_x000D_
$cols["1"] = "WebSleepID";_x000D_
$cols["2"] = "UserID";_x000D_
break;</t>
  </si>
  <si>
    <t>USE [Biometrix]_x000D_
GO_x000D_
if Object_ID('MedicationDelete') is NOT NULL_x000D_
BEGIN_x000D_
DROP PROCEDURE MedicationDelete_x000D_
END_x000D_
GO_x000D_
_x000D_
CREATE PROCEDURE MedicationDelete @UserID VARCHAR(50), @WebMedicationID VARCHAR(50)_x000D_
AS_x000D_
_x000D_
DECLARE @UserID2 INT;_x000D_
SET @UserID2 = TRY_CONVERT(INT, @UserID);_x000D_
IF @UserID = ''_x000D_
BEGIN_x000D_
	SET @UserID2 = NULL;_x000D_
END_x000D_
_x000D_
DECLARE @WebMedicationID2 INT;_x000D_
SET @WebMedicationID2 = TRY_CONVERT(INT, @WebMedicationID);_x000D_
IF @WebMedicationID = ''_x000D_
BEGIN_x000D_
	SET @WebMedicationID2 = NULL;_x000D_
END_x000D_
_x000D_
Delete dbo.Medication_x000D_
WHERE [WebMedicationID] = @WebMedicationID2 AND [UserID] = @UserID2Select @@RowCount as NumRows_x000D_
GO</t>
  </si>
  <si>
    <t>case "Medication":_x000D_
$prep_string = "Exec MedicationDelete";_x000D_
$prep_string = $prep_string . " @WebMedicationID = :WebMedicationID";_x000D_
$prep_string = $prep_string . ", @UserID = :UserID";_x000D_
_x000D_
$stmt_handle = $db_connection-&gt;Prepare($prep_string);_x000D_
_x000D_
$cols = array();_x000D_
$cols["1"] = "WebMedicationID";_x000D_
$cols["2"] = "UserID";_x000D_
break;</t>
  </si>
  <si>
    <t>Pull Procedure(PHP - Webserver)</t>
  </si>
  <si>
    <t>case "Diet":_x000D_
$prep_string = "Select ";_x000D_
$prep_string = $prep_string . "WebDietID";_x000D_
$prep_string = $prep_string . ", UserID";_x000D_
$prep_string = $prep_string . ", LocalDietID";_x000D_
$prep_string = $prep_string . ", Date";_x000D_
$prep_string = $prep_string . ", FoodType";_x000D_
$prep_string = $prep_string . ", Meal";_x000D_
$prep_string = $prep_string . ", ServingSize";_x000D_
$prep_string = $prep_string . ", Calories";_x000D_
$prep_string = $prep_string . ", TotalFat";_x000D_
$prep_string = $prep_string . ", SaturatedFat";_x000D_
$prep_string = $prep_string . ", TransFat";_x000D_
$prep_string = $prep_string . ", Cholesterol";_x000D_
$prep_string = $prep_string . ", Sodium";_x000D_
$prep_string = $prep_string . ", TotalCarbs";_x000D_
$prep_string = $prep_string . ", DietaryFiber";_x000D_
$prep_string = $prep_string . ", Sugars";_x000D_
$prep_string = $prep_string . ", Protein";_x000D_
$prep_string = $prep_string . ", VitaminA";_x000D_
$prep_string = $prep_string . ", VitaminB";_x000D_
$prep_string = $prep_string . ", Calcium";_x000D_
$prep_string = $prep_string . ", Iron";_x000D_
$prep_string = $prep_string . ", Notes";_x000D_
$prep_string = $prep_string . " From Biometrix.dbo.Diet";_x000D_
$prep_string = $prep_string . " LEFT JOIN #TempID ON ID = WebDietID";_x000D_
$prep_string = $prep_string . " Where [UserId] = ? AND ID is null";_x000D_
_x000D_
$stmt_handle = $db_connection-&gt;Prepare($prep_string);_x000D_
_x000D_
$num_cols = 22;_x000D_
_x000D_
$cols = array();_x000D_
$cols[0] = "WebDietID";_x000D_
$cols[1] = "UserID";_x000D_
$cols[2] = "LocalDietID";_x000D_
$cols[3] = "Date";_x000D_
$cols[4] = "FoodType";_x000D_
$cols[5] = "Meal";_x000D_
$cols[6] = "ServingSize";_x000D_
$cols[7] = "Calories";_x000D_
$cols[8] = "TotalFat";_x000D_
$cols[9] = "SaturatedFat";_x000D_
$cols[10] = "TransFat";_x000D_
$cols[11] = "Cholesterol";_x000D_
$cols[12] = "Sodium";_x000D_
$cols[13] = "TotalCarbs";_x000D_
$cols[14] = "DietaryFiber";_x000D_
$cols[15] = "Sugars";_x000D_
$cols[16] = "Protein";_x000D_
$cols[17] = "VitaminA";_x000D_
$cols[18] = "VitaminB";_x000D_
$cols[19] = "Calcium";_x000D_
$cols[20] = "Iron";_x000D_
$cols[21] = "Notes";_x000D_
break;</t>
  </si>
  <si>
    <t>case "Exercise":_x000D_
$prep_string = "Select ";_x000D_
$prep_string = $prep_string . "WebExerciseID";_x000D_
$prep_string = $prep_string . ", UserID";_x000D_
$prep_string = $prep_string . ", LocalExerciseID";_x000D_
$prep_string = $prep_string . ", Title";_x000D_
$prep_string = $prep_string . ", Type";_x000D_
$prep_string = $prep_string . ", Minutes";_x000D_
$prep_string = $prep_string . ", Reps";_x000D_
$prep_string = $prep_string . ", Laps";_x000D_
$prep_string = $prep_string . ", Weight";_x000D_
$prep_string = $prep_string . ", Inty";_x000D_
$prep_string = $prep_string . ", Notes";_x000D_
$prep_string = $prep_string . ", DateEx";_x000D_
$prep_string = $prep_string . ", TimeEx";_x000D_
$prep_string = $prep_string . " From Biometrix.dbo.Exercise";_x000D_
$prep_string = $prep_string . " LEFT JOIN #TempID ON ID = WebExerciseID";_x000D_
$prep_string = $prep_string . " Where [UserId] = ? AND ID is null";_x000D_
_x000D_
$stmt_handle = $db_connection-&gt;Prepare($prep_string);_x000D_
_x000D_
$num_cols = 13;_x000D_
_x000D_
$cols = array();_x000D_
$cols[0] = "WebExerciseID";_x000D_
$cols[1] = "UserID";_x000D_
$cols[2] = "LocalExerciseID";_x000D_
$cols[3] = "Title";_x000D_
$cols[4] = "Type";_x000D_
$cols[5] = "Minutes";_x000D_
$cols[6] = "Reps";_x000D_
$cols[7] = "Laps";_x000D_
$cols[8] = "Weight";_x000D_
$cols[9] = "Inty";_x000D_
$cols[10] = "Notes";_x000D_
$cols[11] = "DateEx";_x000D_
$cols[12] = "TimeEx";_x000D_
break;</t>
  </si>
  <si>
    <t>case "Mood":_x000D_
$prep_string = "Select ";_x000D_
$prep_string = $prep_string . "WebMoodID";_x000D_
$prep_string = $prep_string . ", UserID";_x000D_
$prep_string = $prep_string . ", LocalMoodID";_x000D_
$prep_string = $prep_string . ", Date";_x000D_
$prep_string = $prep_string . ", convert(varchar(5), Time, 114)";_x000D_
$prep_string = $prep_string . ", Depression";_x000D_
$prep_string = $prep_string . ", Elevated";_x000D_
$prep_string = $prep_string . ", Irritable";_x000D_
$prep_string = $prep_string . ", Anxiety";_x000D_
$prep_string = $prep_string . ", Notes";_x000D_
$prep_string = $prep_string . " From Biometrix.dbo.Mood";_x000D_
$prep_string = $prep_string . " LEFT JOIN #TempID ON ID = WebMoodID";_x000D_
$prep_string = $prep_string . " Where [UserId] = ? AND ID is null";_x000D_
_x000D_
$stmt_handle = $db_connection-&gt;Prepare($prep_string);_x000D_
_x000D_
$num_cols = 10;_x000D_
_x000D_
$cols = array();_x000D_
$cols[0] = "WebMoodID";_x000D_
$cols[1] = "UserID";_x000D_
$cols[2] = "LocalMoodID";_x000D_
$cols[3] = "Date";_x000D_
$cols[4] = "Time";_x000D_
$cols[5] = "Depression";_x000D_
$cols[6] = "Elevated";_x000D_
$cols[7] = "Irritable";_x000D_
$cols[8] = "Anxiety";_x000D_
$cols[9] = "Notes";_x000D_
break;</t>
  </si>
  <si>
    <t>case "Sleep":_x000D_
$prep_string = "Select ";_x000D_
$prep_string = $prep_string . "WebSleepID";_x000D_
$prep_string = $prep_string . ", UserID";_x000D_
$prep_string = $prep_string . ", LocalSleepID";_x000D_
$prep_string = $prep_string . ", Date";_x000D_
$prep_string = $prep_string . ", convert(varchar(5), Time, 114)";_x000D_
$prep_string = $prep_string . ", convert(varchar(5), Duration, 114)";_x000D_
$prep_string = $prep_string . ", Quality";_x000D_
$prep_string = $prep_string . ", Notes";_x000D_
$prep_string = $prep_string . ", Health";_x000D_
$prep_string = $prep_string . " From Biometrix.dbo.Sleep";_x000D_
$prep_string = $prep_string . " LEFT JOIN #TempID ON ID = WebSleepID";_x000D_
$prep_string = $prep_string . " Where [UserId] = ? AND ID is null";_x000D_
_x000D_
$stmt_handle = $db_connection-&gt;Prepare($prep_string);_x000D_
_x000D_
$num_cols = 9;_x000D_
_x000D_
$cols = array();_x000D_
$cols[0] = "WebSleepID";_x000D_
$cols[1] = "UserID";_x000D_
$cols[2] = "LocalSleepID";_x000D_
$cols[3] = "Date";_x000D_
$cols[4] = "Time";_x000D_
$cols[5] = "Duration";_x000D_
$cols[6] = "Quality";_x000D_
$cols[7] = "Notes";_x000D_
$cols[8] = "Health";_x000D_
break;</t>
  </si>
  <si>
    <t>case "Medication":_x000D_
$prep_string = "Select ";_x000D_
$prep_string = $prep_string . "WebMedicationID";_x000D_
$prep_string = $prep_string . ", UserID";_x000D_
$prep_string = $prep_string . ", LocalMedicationID";_x000D_
$prep_string = $prep_string . ", Date";_x000D_
$prep_string = $prep_string . ", convert(varchar(5), Time, 114)";_x000D_
$prep_string = $prep_string . ", BrandName";_x000D_
$prep_string = $prep_string . ", Prescriber";_x000D_
$prep_string = $prep_string . ", Dose";_x000D_
$prep_string = $prep_string . ", Instructions";_x000D_
$prep_string = $prep_string . ", Warnings";_x000D_
$prep_string = $prep_string . ", Notes";_x000D_
$prep_string = $prep_string . " From Biometrix.dbo.Medication";_x000D_
$prep_string = $prep_string . " LEFT JOIN #TempID ON ID = WebMedicationID";_x000D_
$prep_string = $prep_string . " Where [UserId] = ? AND ID is null";_x000D_
_x000D_
$stmt_handle = $db_connection-&gt;Prepare($prep_string);_x000D_
_x000D_
$num_cols = 11;_x000D_
_x000D_
$cols = array();_x000D_
$cols[0] = "WebMedicationID";_x000D_
$cols[1] = "UserID";_x000D_
$cols[2] = "LocalMedicationID";_x000D_
$cols[3] = "Date";_x000D_
$cols[4] = "Time";_x000D_
$cols[5] = "BrandName";_x000D_
$cols[6] = "Prescriber";_x000D_
$cols[7] = "Dose";_x000D_
$cols[8] = "Instructions";_x000D_
$cols[9] = "Warnings";_x000D_
$cols[10] = "Notes";_x000D_
break;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</si>
</sst>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i/>
      <sz val="9"/>
      <color rgb="FF80808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2"/>
  <sheetViews>
    <sheetView workbookViewId="0"/>
  </sheetViews>
  <sheetFormatPr defaultRowHeight="15" x14ac:dyDescent="0.25"/>
  <cols>
    <col min="1" max="1" width="152.140625" customWidth="1"/>
  </cols>
  <sheetData>
    <row r="1" spans="1:1" x14ac:dyDescent="0.25">
      <c r="A1" t="s">
        <v>144</v>
      </c>
    </row>
    <row r="2" spans="1:1" x14ac:dyDescent="0.25">
      <c r="A2" t="s">
        <v>145</v>
      </c>
    </row>
    <row r="4" spans="1:1" x14ac:dyDescent="0.25">
      <c r="A4" t="s">
        <v>150</v>
      </c>
    </row>
    <row r="5" spans="1:1" x14ac:dyDescent="0.25">
      <c r="A5" t="s">
        <v>146</v>
      </c>
    </row>
    <row r="6" spans="1:1" x14ac:dyDescent="0.25">
      <c r="A6" t="s">
        <v>147</v>
      </c>
    </row>
    <row r="7" spans="1:1" x14ac:dyDescent="0.25">
      <c r="A7" t="s">
        <v>148</v>
      </c>
    </row>
    <row r="8" spans="1:1" x14ac:dyDescent="0.25">
      <c r="A8" t="s">
        <v>149</v>
      </c>
    </row>
    <row r="10" spans="1:1" x14ac:dyDescent="0.25">
      <c r="A10" t="s">
        <v>151</v>
      </c>
    </row>
    <row r="11" spans="1:1" x14ac:dyDescent="0.25">
      <c r="A11" t="s">
        <v>152</v>
      </c>
    </row>
    <row r="12" spans="1:1" x14ac:dyDescent="0.25">
      <c r="A12" t="s">
        <v>153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workbookViewId="0">
      <selection activeCell="E17" sqref="E17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5.42578125" customWidth="1"/>
    <col min="4" max="4" width="30.42578125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29</v>
      </c>
      <c r="E2">
        <f>A2</f>
        <v>0</v>
      </c>
      <c r="G2" t="s">
        <v>33</v>
      </c>
    </row>
    <row r="3" spans="1:8" x14ac:dyDescent="0.25">
      <c r="A3" t="s">
        <v>28</v>
      </c>
      <c r="B3" t="s">
        <v>16</v>
      </c>
      <c r="C3" t="s">
        <v>35</v>
      </c>
      <c r="D3" t="s">
        <v>140</v>
      </c>
      <c r="E3" t="s">
        <v>36</v>
      </c>
      <c r="F3" t="s">
        <v>200</v>
      </c>
      <c r="G3" t="s">
        <v>37</v>
      </c>
    </row>
    <row r="4" spans="1:8" x14ac:dyDescent="0.25">
      <c r="A4" t="s">
        <v>0</v>
      </c>
      <c r="B4" t="s">
        <v>16</v>
      </c>
      <c r="C4" t="s">
        <v>38</v>
      </c>
      <c r="D4" t="s">
        <v>141</v>
      </c>
      <c r="E4" t="s">
        <v>39</v>
      </c>
      <c r="F4" t="s">
        <v>40</v>
      </c>
      <c r="G4" t="s">
        <v>61</v>
      </c>
    </row>
    <row r="5" spans="1:8" x14ac:dyDescent="0.25">
      <c r="A5" t="s">
        <v>36</v>
      </c>
      <c r="B5" t="s">
        <v>16</v>
      </c>
      <c r="C5" t="s">
        <v>41</v>
      </c>
      <c r="E5" t="s">
        <v>28</v>
      </c>
      <c r="F5" t="s">
        <v>42</v>
      </c>
      <c r="G5" t="s">
        <v>43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44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48</v>
      </c>
      <c r="B8" t="s">
        <v>16</v>
      </c>
      <c r="C8" t="s">
        <v>50</v>
      </c>
      <c r="E8" t="str">
        <f t="shared" si="0"/>
        <v>Depression</v>
      </c>
      <c r="F8" t="s">
        <v>42</v>
      </c>
      <c r="G8" t="s">
        <v>52</v>
      </c>
    </row>
    <row r="9" spans="1:8" x14ac:dyDescent="0.25">
      <c r="A9" t="s">
        <v>53</v>
      </c>
      <c r="B9" t="s">
        <v>16</v>
      </c>
      <c r="C9" t="s">
        <v>50</v>
      </c>
      <c r="E9" t="str">
        <f t="shared" si="0"/>
        <v>Elevated</v>
      </c>
      <c r="F9" t="s">
        <v>42</v>
      </c>
      <c r="G9" t="s">
        <v>54</v>
      </c>
    </row>
    <row r="10" spans="1:8" x14ac:dyDescent="0.25">
      <c r="A10" t="s">
        <v>55</v>
      </c>
      <c r="B10" t="s">
        <v>16</v>
      </c>
      <c r="C10" t="s">
        <v>50</v>
      </c>
      <c r="E10" t="str">
        <f t="shared" si="0"/>
        <v>Irritable</v>
      </c>
      <c r="F10" t="s">
        <v>42</v>
      </c>
      <c r="G10" t="s">
        <v>56</v>
      </c>
    </row>
    <row r="11" spans="1:8" x14ac:dyDescent="0.25">
      <c r="A11" t="s">
        <v>57</v>
      </c>
      <c r="B11" t="s">
        <v>16</v>
      </c>
      <c r="C11" t="s">
        <v>50</v>
      </c>
      <c r="E11" t="str">
        <f t="shared" si="0"/>
        <v>Anxiety</v>
      </c>
      <c r="F11" t="s">
        <v>42</v>
      </c>
      <c r="G11" t="s">
        <v>58</v>
      </c>
    </row>
    <row r="12" spans="1:8" x14ac:dyDescent="0.25">
      <c r="A12" t="s">
        <v>24</v>
      </c>
      <c r="B12" t="s">
        <v>25</v>
      </c>
      <c r="C12" t="s">
        <v>50</v>
      </c>
      <c r="E12" t="str">
        <f t="shared" si="0"/>
        <v>Notes</v>
      </c>
      <c r="F12" t="s">
        <v>59</v>
      </c>
      <c r="G12" t="s">
        <v>60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"/>
  <sheetViews>
    <sheetView topLeftCell="A10" workbookViewId="0">
      <selection activeCell="B11" sqref="B11"/>
    </sheetView>
  </sheetViews>
  <sheetFormatPr defaultRowHeight="15" x14ac:dyDescent="0.25"/>
  <cols>
    <col min="1" max="1" width="35.28515625" bestFit="1" customWidth="1"/>
    <col min="2" max="2" width="138.7109375" customWidth="1"/>
  </cols>
  <sheetData>
    <row r="1" spans="1:3" ht="165" x14ac:dyDescent="0.25">
      <c r="A1" t="s">
        <v>62</v>
      </c>
      <c r="B1" s="1" t="s">
        <v>205</v>
      </c>
    </row>
    <row r="2" spans="1:3" ht="165" x14ac:dyDescent="0.25">
      <c r="A2" t="s">
        <v>130</v>
      </c>
      <c r="B2" s="1" t="s">
        <v>188</v>
      </c>
    </row>
    <row r="3" spans="1:3" ht="30" x14ac:dyDescent="0.25">
      <c r="A3" t="s">
        <v>143</v>
      </c>
      <c r="B3" s="1" t="s">
        <v>189</v>
      </c>
    </row>
    <row r="5" spans="1:3" ht="330" x14ac:dyDescent="0.25">
      <c r="A5" t="s">
        <v>156</v>
      </c>
      <c r="B5" s="1" t="s">
        <v>167</v>
      </c>
    </row>
    <row r="6" spans="1:3" ht="409.5" x14ac:dyDescent="0.25">
      <c r="A6" t="s">
        <v>157</v>
      </c>
      <c r="B6" s="1" t="s">
        <v>168</v>
      </c>
      <c r="C6">
        <v>1470</v>
      </c>
    </row>
    <row r="7" spans="1:3" ht="409.5" x14ac:dyDescent="0.25">
      <c r="A7" t="s">
        <v>158</v>
      </c>
      <c r="B7" s="1" t="s">
        <v>206</v>
      </c>
      <c r="C7">
        <v>1581</v>
      </c>
    </row>
    <row r="8" spans="1:3" ht="409.5" x14ac:dyDescent="0.25">
      <c r="A8" t="s">
        <v>199</v>
      </c>
      <c r="B8" s="1" t="s">
        <v>211</v>
      </c>
      <c r="C8">
        <v>544</v>
      </c>
    </row>
    <row r="9" spans="1:3" ht="409.5" x14ac:dyDescent="0.25">
      <c r="A9" t="s">
        <v>198</v>
      </c>
      <c r="B9" s="1" t="s">
        <v>164</v>
      </c>
      <c r="C9">
        <v>1031</v>
      </c>
    </row>
    <row r="10" spans="1:3" ht="165" x14ac:dyDescent="0.25">
      <c r="A10" t="s">
        <v>213</v>
      </c>
      <c r="B10" s="1" t="s">
        <v>212</v>
      </c>
      <c r="C10">
        <v>296</v>
      </c>
    </row>
    <row r="11" spans="1:3" ht="409.5" x14ac:dyDescent="0.25">
      <c r="A11" t="s">
        <v>222</v>
      </c>
      <c r="B11" s="1" t="s">
        <v>225</v>
      </c>
      <c r="C11">
        <v>1042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8"/>
  <sheetViews>
    <sheetView workbookViewId="0">
      <selection activeCell="D31" sqref="D31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33.8554687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63</v>
      </c>
      <c r="E2">
        <f>A2</f>
        <v>0</v>
      </c>
      <c r="G2" t="s">
        <v>33</v>
      </c>
    </row>
    <row r="3" spans="1:8" x14ac:dyDescent="0.25">
      <c r="A3" t="s">
        <v>64</v>
      </c>
      <c r="B3" t="s">
        <v>16</v>
      </c>
      <c r="C3" t="s">
        <v>35</v>
      </c>
      <c r="D3" t="s">
        <v>140</v>
      </c>
      <c r="E3" t="s">
        <v>1</v>
      </c>
      <c r="F3" t="s">
        <v>200</v>
      </c>
      <c r="G3" t="s">
        <v>68</v>
      </c>
    </row>
    <row r="4" spans="1:8" x14ac:dyDescent="0.25">
      <c r="A4" t="s">
        <v>0</v>
      </c>
      <c r="B4" t="s">
        <v>16</v>
      </c>
      <c r="C4" t="s">
        <v>38</v>
      </c>
      <c r="D4" t="s">
        <v>141</v>
      </c>
      <c r="E4" t="s">
        <v>39</v>
      </c>
      <c r="F4" t="s">
        <v>40</v>
      </c>
      <c r="G4" t="s">
        <v>61</v>
      </c>
    </row>
    <row r="5" spans="1:8" x14ac:dyDescent="0.25">
      <c r="A5" t="s">
        <v>1</v>
      </c>
      <c r="B5" t="s">
        <v>16</v>
      </c>
      <c r="C5" t="s">
        <v>41</v>
      </c>
      <c r="E5" t="s">
        <v>64</v>
      </c>
      <c r="F5" t="s">
        <v>42</v>
      </c>
      <c r="G5" t="s">
        <v>69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24" si="0">A6</f>
        <v>Date</v>
      </c>
      <c r="F6" t="s">
        <v>44</v>
      </c>
      <c r="G6" t="s">
        <v>18</v>
      </c>
    </row>
    <row r="7" spans="1:8" x14ac:dyDescent="0.25">
      <c r="A7" s="1" t="s">
        <v>19</v>
      </c>
      <c r="B7" t="s">
        <v>20</v>
      </c>
      <c r="C7" t="s">
        <v>50</v>
      </c>
      <c r="E7" t="str">
        <f t="shared" si="0"/>
        <v>FoodType</v>
      </c>
      <c r="F7" t="s">
        <v>65</v>
      </c>
      <c r="G7" t="s">
        <v>70</v>
      </c>
    </row>
    <row r="8" spans="1:8" x14ac:dyDescent="0.25">
      <c r="A8" s="1" t="s">
        <v>21</v>
      </c>
      <c r="B8" t="s">
        <v>22</v>
      </c>
      <c r="C8" t="s">
        <v>50</v>
      </c>
      <c r="E8" t="str">
        <f t="shared" si="0"/>
        <v>Meal</v>
      </c>
      <c r="F8" t="s">
        <v>67</v>
      </c>
      <c r="G8" t="s">
        <v>71</v>
      </c>
    </row>
    <row r="9" spans="1:8" x14ac:dyDescent="0.25">
      <c r="A9" s="1" t="s">
        <v>26</v>
      </c>
      <c r="B9" t="s">
        <v>22</v>
      </c>
      <c r="C9" t="s">
        <v>50</v>
      </c>
      <c r="E9" t="str">
        <f t="shared" si="0"/>
        <v>ServingSize</v>
      </c>
      <c r="F9" t="s">
        <v>67</v>
      </c>
      <c r="G9" t="s">
        <v>80</v>
      </c>
    </row>
    <row r="10" spans="1:8" x14ac:dyDescent="0.25">
      <c r="A10" s="1" t="s">
        <v>2</v>
      </c>
      <c r="B10" t="s">
        <v>16</v>
      </c>
      <c r="C10" t="s">
        <v>50</v>
      </c>
      <c r="E10" t="str">
        <f t="shared" si="0"/>
        <v>Calories</v>
      </c>
      <c r="F10" t="s">
        <v>42</v>
      </c>
      <c r="G10" t="s">
        <v>72</v>
      </c>
    </row>
    <row r="11" spans="1:8" x14ac:dyDescent="0.25">
      <c r="A11" s="1" t="s">
        <v>3</v>
      </c>
      <c r="B11" t="s">
        <v>16</v>
      </c>
      <c r="C11" t="s">
        <v>50</v>
      </c>
      <c r="E11" t="str">
        <f t="shared" si="0"/>
        <v>TotalFat</v>
      </c>
      <c r="F11" t="s">
        <v>42</v>
      </c>
      <c r="G11" t="s">
        <v>81</v>
      </c>
    </row>
    <row r="12" spans="1:8" x14ac:dyDescent="0.25">
      <c r="A12" s="1" t="s">
        <v>4</v>
      </c>
      <c r="B12" t="s">
        <v>16</v>
      </c>
      <c r="C12" t="s">
        <v>50</v>
      </c>
      <c r="E12" t="str">
        <f t="shared" si="0"/>
        <v>SaturatedFat</v>
      </c>
      <c r="F12" t="s">
        <v>42</v>
      </c>
      <c r="G12" t="s">
        <v>86</v>
      </c>
    </row>
    <row r="13" spans="1:8" x14ac:dyDescent="0.25">
      <c r="A13" s="1" t="s">
        <v>5</v>
      </c>
      <c r="B13" t="s">
        <v>16</v>
      </c>
      <c r="C13" t="s">
        <v>50</v>
      </c>
      <c r="E13" t="str">
        <f t="shared" si="0"/>
        <v>TransFat</v>
      </c>
      <c r="F13" t="s">
        <v>42</v>
      </c>
      <c r="G13" t="s">
        <v>82</v>
      </c>
    </row>
    <row r="14" spans="1:8" x14ac:dyDescent="0.25">
      <c r="A14" s="1" t="s">
        <v>6</v>
      </c>
      <c r="B14" t="s">
        <v>16</v>
      </c>
      <c r="C14" t="s">
        <v>50</v>
      </c>
      <c r="E14" t="str">
        <f t="shared" si="0"/>
        <v>Cholesterol</v>
      </c>
      <c r="F14" t="s">
        <v>42</v>
      </c>
      <c r="G14" t="s">
        <v>73</v>
      </c>
    </row>
    <row r="15" spans="1:8" x14ac:dyDescent="0.25">
      <c r="A15" s="1" t="s">
        <v>7</v>
      </c>
      <c r="B15" t="s">
        <v>16</v>
      </c>
      <c r="C15" t="s">
        <v>50</v>
      </c>
      <c r="E15" t="str">
        <f t="shared" si="0"/>
        <v>Sodium</v>
      </c>
      <c r="F15" t="s">
        <v>42</v>
      </c>
      <c r="G15" t="s">
        <v>74</v>
      </c>
    </row>
    <row r="16" spans="1:8" x14ac:dyDescent="0.25">
      <c r="A16" s="1" t="s">
        <v>8</v>
      </c>
      <c r="B16" t="s">
        <v>16</v>
      </c>
      <c r="C16" t="s">
        <v>50</v>
      </c>
      <c r="E16" t="str">
        <f t="shared" si="0"/>
        <v>TotalCarbs</v>
      </c>
      <c r="F16" t="s">
        <v>42</v>
      </c>
      <c r="G16" t="s">
        <v>83</v>
      </c>
    </row>
    <row r="17" spans="1:7" x14ac:dyDescent="0.25">
      <c r="A17" s="1" t="s">
        <v>9</v>
      </c>
      <c r="B17" t="s">
        <v>16</v>
      </c>
      <c r="C17" t="s">
        <v>50</v>
      </c>
      <c r="E17" t="str">
        <f t="shared" si="0"/>
        <v>DietaryFiber</v>
      </c>
      <c r="F17" t="s">
        <v>42</v>
      </c>
      <c r="G17" t="s">
        <v>75</v>
      </c>
    </row>
    <row r="18" spans="1:7" x14ac:dyDescent="0.25">
      <c r="A18" s="1" t="s">
        <v>10</v>
      </c>
      <c r="B18" t="s">
        <v>16</v>
      </c>
      <c r="C18" t="s">
        <v>50</v>
      </c>
      <c r="E18" t="str">
        <f t="shared" si="0"/>
        <v>Sugars</v>
      </c>
      <c r="F18" t="s">
        <v>42</v>
      </c>
      <c r="G18" t="s">
        <v>76</v>
      </c>
    </row>
    <row r="19" spans="1:7" x14ac:dyDescent="0.25">
      <c r="A19" s="1" t="s">
        <v>11</v>
      </c>
      <c r="B19" t="s">
        <v>16</v>
      </c>
      <c r="C19" t="s">
        <v>50</v>
      </c>
      <c r="E19" t="str">
        <f t="shared" si="0"/>
        <v>Protein</v>
      </c>
      <c r="F19" t="s">
        <v>42</v>
      </c>
      <c r="G19" t="s">
        <v>77</v>
      </c>
    </row>
    <row r="20" spans="1:7" x14ac:dyDescent="0.25">
      <c r="A20" s="1" t="s">
        <v>12</v>
      </c>
      <c r="B20" t="s">
        <v>16</v>
      </c>
      <c r="C20" t="s">
        <v>50</v>
      </c>
      <c r="E20" t="str">
        <f t="shared" si="0"/>
        <v>VitaminA</v>
      </c>
      <c r="F20" t="s">
        <v>42</v>
      </c>
      <c r="G20" t="s">
        <v>84</v>
      </c>
    </row>
    <row r="21" spans="1:7" x14ac:dyDescent="0.25">
      <c r="A21" s="1" t="s">
        <v>13</v>
      </c>
      <c r="B21" t="s">
        <v>16</v>
      </c>
      <c r="C21" t="s">
        <v>50</v>
      </c>
      <c r="E21" t="str">
        <f t="shared" si="0"/>
        <v>VitaminB</v>
      </c>
      <c r="F21" t="s">
        <v>42</v>
      </c>
      <c r="G21" t="s">
        <v>85</v>
      </c>
    </row>
    <row r="22" spans="1:7" x14ac:dyDescent="0.25">
      <c r="A22" s="1" t="s">
        <v>14</v>
      </c>
      <c r="B22" t="s">
        <v>16</v>
      </c>
      <c r="C22" t="s">
        <v>50</v>
      </c>
      <c r="E22" t="str">
        <f t="shared" si="0"/>
        <v>Calcium</v>
      </c>
      <c r="F22" t="s">
        <v>42</v>
      </c>
      <c r="G22" t="s">
        <v>78</v>
      </c>
    </row>
    <row r="23" spans="1:7" x14ac:dyDescent="0.25">
      <c r="A23" s="1" t="s">
        <v>15</v>
      </c>
      <c r="B23" t="s">
        <v>16</v>
      </c>
      <c r="C23" t="s">
        <v>50</v>
      </c>
      <c r="E23" t="str">
        <f t="shared" si="0"/>
        <v>Iron</v>
      </c>
      <c r="F23" t="s">
        <v>42</v>
      </c>
      <c r="G23" t="s">
        <v>79</v>
      </c>
    </row>
    <row r="24" spans="1:7" x14ac:dyDescent="0.25">
      <c r="A24" t="s">
        <v>24</v>
      </c>
      <c r="B24" t="s">
        <v>25</v>
      </c>
      <c r="C24" t="s">
        <v>50</v>
      </c>
      <c r="E24" t="str">
        <f t="shared" si="0"/>
        <v>Notes</v>
      </c>
      <c r="F24" t="s">
        <v>59</v>
      </c>
      <c r="G24" t="s">
        <v>60</v>
      </c>
    </row>
    <row r="26" spans="1:7" x14ac:dyDescent="0.25">
      <c r="A26" s="1"/>
    </row>
    <row r="27" spans="1:7" x14ac:dyDescent="0.25">
      <c r="A27" s="1"/>
    </row>
    <row r="28" spans="1:7" x14ac:dyDescent="0.25">
      <c r="A28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1"/>
  <sheetViews>
    <sheetView topLeftCell="A11" workbookViewId="0">
      <selection activeCell="B11" sqref="B11"/>
    </sheetView>
  </sheetViews>
  <sheetFormatPr defaultRowHeight="15" x14ac:dyDescent="0.25"/>
  <cols>
    <col min="1" max="1" width="33.28515625" customWidth="1"/>
    <col min="2" max="2" width="136.85546875" customWidth="1"/>
  </cols>
  <sheetData>
    <row r="1" spans="1:3" ht="345" x14ac:dyDescent="0.25">
      <c r="A1" t="s">
        <v>62</v>
      </c>
      <c r="B1" s="1" t="s">
        <v>201</v>
      </c>
    </row>
    <row r="2" spans="1:3" ht="345" x14ac:dyDescent="0.25">
      <c r="A2" t="s">
        <v>130</v>
      </c>
      <c r="B2" s="1" t="s">
        <v>190</v>
      </c>
    </row>
    <row r="3" spans="1:3" ht="45" x14ac:dyDescent="0.25">
      <c r="A3" t="s">
        <v>143</v>
      </c>
      <c r="B3" s="1" t="s">
        <v>191</v>
      </c>
    </row>
    <row r="5" spans="1:3" ht="409.5" x14ac:dyDescent="0.25">
      <c r="A5" t="s">
        <v>156</v>
      </c>
      <c r="B5" s="1" t="s">
        <v>154</v>
      </c>
    </row>
    <row r="6" spans="1:3" ht="409.5" x14ac:dyDescent="0.25">
      <c r="A6" t="s">
        <v>157</v>
      </c>
      <c r="B6" s="1" t="s">
        <v>159</v>
      </c>
      <c r="C6">
        <v>3368</v>
      </c>
    </row>
    <row r="7" spans="1:3" ht="409.5" x14ac:dyDescent="0.25">
      <c r="A7" t="s">
        <v>158</v>
      </c>
      <c r="B7" s="1" t="s">
        <v>207</v>
      </c>
      <c r="C7">
        <v>3491</v>
      </c>
    </row>
    <row r="8" spans="1:3" ht="409.5" x14ac:dyDescent="0.25">
      <c r="A8" t="s">
        <v>199</v>
      </c>
      <c r="B8" s="1" t="s">
        <v>214</v>
      </c>
      <c r="C8">
        <v>544</v>
      </c>
    </row>
    <row r="9" spans="1:3" ht="409.5" x14ac:dyDescent="0.25">
      <c r="A9" t="s">
        <v>198</v>
      </c>
      <c r="B9" s="1" t="s">
        <v>165</v>
      </c>
      <c r="C9">
        <v>2063</v>
      </c>
    </row>
    <row r="10" spans="1:3" ht="165" x14ac:dyDescent="0.25">
      <c r="A10" t="s">
        <v>213</v>
      </c>
      <c r="B10" s="1" t="s">
        <v>215</v>
      </c>
      <c r="C10">
        <v>296</v>
      </c>
    </row>
    <row r="11" spans="1:3" ht="409.5" x14ac:dyDescent="0.25">
      <c r="A11" t="s">
        <v>222</v>
      </c>
      <c r="B11" s="1" t="s">
        <v>223</v>
      </c>
      <c r="C11">
        <v>1864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"/>
  <sheetViews>
    <sheetView workbookViewId="0">
      <selection activeCell="E17" sqref="E17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  <c r="H1" t="s">
        <v>87</v>
      </c>
    </row>
    <row r="2" spans="1:8" x14ac:dyDescent="0.25">
      <c r="D2" t="s">
        <v>88</v>
      </c>
      <c r="E2">
        <f>A2</f>
        <v>0</v>
      </c>
      <c r="G2" t="s">
        <v>33</v>
      </c>
    </row>
    <row r="3" spans="1:8" x14ac:dyDescent="0.25">
      <c r="A3" t="s">
        <v>91</v>
      </c>
      <c r="B3" t="s">
        <v>16</v>
      </c>
      <c r="C3" t="s">
        <v>35</v>
      </c>
      <c r="D3" t="s">
        <v>140</v>
      </c>
      <c r="E3" t="s">
        <v>92</v>
      </c>
      <c r="F3" t="s">
        <v>200</v>
      </c>
      <c r="G3" t="s">
        <v>89</v>
      </c>
      <c r="H3" s="2" t="s">
        <v>133</v>
      </c>
    </row>
    <row r="4" spans="1:8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  <c r="H4" s="2" t="s">
        <v>134</v>
      </c>
    </row>
    <row r="5" spans="1:8" x14ac:dyDescent="0.25">
      <c r="A5" t="s">
        <v>92</v>
      </c>
      <c r="B5" t="s">
        <v>16</v>
      </c>
      <c r="C5" t="s">
        <v>41</v>
      </c>
      <c r="E5" t="s">
        <v>91</v>
      </c>
      <c r="F5" t="s">
        <v>42</v>
      </c>
      <c r="G5" t="s">
        <v>90</v>
      </c>
    </row>
    <row r="6" spans="1:8" x14ac:dyDescent="0.25">
      <c r="A6" t="s">
        <v>100</v>
      </c>
      <c r="B6" t="s">
        <v>25</v>
      </c>
      <c r="C6" t="s">
        <v>50</v>
      </c>
      <c r="E6" t="str">
        <f>A6</f>
        <v>Title</v>
      </c>
      <c r="F6" t="s">
        <v>59</v>
      </c>
      <c r="G6" t="s">
        <v>93</v>
      </c>
      <c r="H6" s="2" t="s">
        <v>135</v>
      </c>
    </row>
    <row r="7" spans="1:8" x14ac:dyDescent="0.25">
      <c r="A7" t="s">
        <v>101</v>
      </c>
      <c r="B7" t="s">
        <v>109</v>
      </c>
      <c r="C7" t="s">
        <v>50</v>
      </c>
      <c r="E7" t="str">
        <f t="shared" ref="E7:E15" si="0">A7</f>
        <v>Type</v>
      </c>
      <c r="F7" t="s">
        <v>112</v>
      </c>
      <c r="G7" t="s">
        <v>70</v>
      </c>
      <c r="H7" s="2" t="s">
        <v>136</v>
      </c>
    </row>
    <row r="8" spans="1:8" x14ac:dyDescent="0.25">
      <c r="A8" t="s">
        <v>102</v>
      </c>
      <c r="B8" t="s">
        <v>110</v>
      </c>
      <c r="C8" t="s">
        <v>50</v>
      </c>
      <c r="E8" t="str">
        <f t="shared" si="0"/>
        <v>Minutes</v>
      </c>
      <c r="F8" t="s">
        <v>113</v>
      </c>
      <c r="G8" t="s">
        <v>94</v>
      </c>
      <c r="H8" s="2" t="s">
        <v>137</v>
      </c>
    </row>
    <row r="9" spans="1:8" x14ac:dyDescent="0.25">
      <c r="A9" t="s">
        <v>103</v>
      </c>
      <c r="B9" t="s">
        <v>110</v>
      </c>
      <c r="C9" t="s">
        <v>50</v>
      </c>
      <c r="E9" t="str">
        <f t="shared" si="0"/>
        <v>Reps</v>
      </c>
      <c r="F9" t="s">
        <v>113</v>
      </c>
      <c r="G9" t="s">
        <v>95</v>
      </c>
      <c r="H9" s="2" t="s">
        <v>138</v>
      </c>
    </row>
    <row r="10" spans="1:8" x14ac:dyDescent="0.25">
      <c r="A10" t="s">
        <v>104</v>
      </c>
      <c r="B10" t="s">
        <v>110</v>
      </c>
      <c r="C10" t="s">
        <v>50</v>
      </c>
      <c r="E10" t="str">
        <f t="shared" si="0"/>
        <v>Laps</v>
      </c>
      <c r="F10" t="s">
        <v>113</v>
      </c>
      <c r="G10" t="s">
        <v>96</v>
      </c>
    </row>
    <row r="11" spans="1:8" x14ac:dyDescent="0.25">
      <c r="A11" t="s">
        <v>105</v>
      </c>
      <c r="B11" t="s">
        <v>111</v>
      </c>
      <c r="C11" t="s">
        <v>50</v>
      </c>
      <c r="E11" t="str">
        <f t="shared" si="0"/>
        <v>Weight</v>
      </c>
      <c r="F11" t="s">
        <v>114</v>
      </c>
      <c r="G11" t="s">
        <v>97</v>
      </c>
    </row>
    <row r="12" spans="1:8" x14ac:dyDescent="0.25">
      <c r="A12" t="s">
        <v>106</v>
      </c>
      <c r="B12" t="s">
        <v>110</v>
      </c>
      <c r="C12" t="s">
        <v>50</v>
      </c>
      <c r="E12" t="str">
        <f t="shared" si="0"/>
        <v>Inty</v>
      </c>
      <c r="F12" t="s">
        <v>113</v>
      </c>
      <c r="G12" t="s">
        <v>98</v>
      </c>
    </row>
    <row r="13" spans="1:8" x14ac:dyDescent="0.25">
      <c r="A13" t="s">
        <v>24</v>
      </c>
      <c r="B13" t="s">
        <v>25</v>
      </c>
      <c r="C13" t="s">
        <v>50</v>
      </c>
      <c r="E13" t="str">
        <f t="shared" si="0"/>
        <v>Notes</v>
      </c>
      <c r="F13" t="s">
        <v>59</v>
      </c>
      <c r="G13" t="s">
        <v>99</v>
      </c>
    </row>
    <row r="14" spans="1:8" x14ac:dyDescent="0.25">
      <c r="A14" t="s">
        <v>107</v>
      </c>
      <c r="B14" t="s">
        <v>18</v>
      </c>
      <c r="C14" t="s">
        <v>41</v>
      </c>
      <c r="E14" t="str">
        <f t="shared" si="0"/>
        <v>DateEx</v>
      </c>
      <c r="F14" t="s">
        <v>115</v>
      </c>
      <c r="G14" t="s">
        <v>18</v>
      </c>
    </row>
    <row r="15" spans="1:8" x14ac:dyDescent="0.25">
      <c r="A15" t="s">
        <v>108</v>
      </c>
      <c r="B15" t="s">
        <v>49</v>
      </c>
      <c r="C15" t="s">
        <v>41</v>
      </c>
      <c r="E15" t="str">
        <f t="shared" si="0"/>
        <v>TimeEx</v>
      </c>
      <c r="F15" t="s">
        <v>51</v>
      </c>
      <c r="G15" t="s">
        <v>46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1"/>
  <sheetViews>
    <sheetView topLeftCell="A10" workbookViewId="0">
      <selection activeCell="B11" sqref="B11"/>
    </sheetView>
  </sheetViews>
  <sheetFormatPr defaultRowHeight="15" x14ac:dyDescent="0.25"/>
  <cols>
    <col min="1" max="1" width="41" customWidth="1"/>
    <col min="2" max="2" width="90.140625" customWidth="1"/>
  </cols>
  <sheetData>
    <row r="1" spans="1:3" ht="210" x14ac:dyDescent="0.25">
      <c r="A1" t="s">
        <v>62</v>
      </c>
      <c r="B1" s="1" t="s">
        <v>202</v>
      </c>
    </row>
    <row r="2" spans="1:3" ht="240" x14ac:dyDescent="0.25">
      <c r="A2" t="s">
        <v>130</v>
      </c>
      <c r="B2" s="1" t="s">
        <v>192</v>
      </c>
    </row>
    <row r="3" spans="1:3" ht="30" x14ac:dyDescent="0.25">
      <c r="A3" t="s">
        <v>143</v>
      </c>
      <c r="B3" s="1" t="s">
        <v>193</v>
      </c>
    </row>
    <row r="5" spans="1:3" ht="375" x14ac:dyDescent="0.25">
      <c r="A5" t="s">
        <v>156</v>
      </c>
      <c r="B5" s="1" t="s">
        <v>161</v>
      </c>
    </row>
    <row r="6" spans="1:3" ht="409.5" x14ac:dyDescent="0.25">
      <c r="A6" t="s">
        <v>157</v>
      </c>
      <c r="B6" s="1" t="s">
        <v>162</v>
      </c>
      <c r="C6">
        <v>1717</v>
      </c>
    </row>
    <row r="7" spans="1:3" ht="409.5" x14ac:dyDescent="0.25">
      <c r="A7" t="s">
        <v>158</v>
      </c>
      <c r="B7" s="1" t="s">
        <v>208</v>
      </c>
      <c r="C7">
        <v>1839</v>
      </c>
    </row>
    <row r="8" spans="1:3" ht="409.5" x14ac:dyDescent="0.25">
      <c r="A8" t="s">
        <v>199</v>
      </c>
      <c r="B8" s="1" t="s">
        <v>216</v>
      </c>
      <c r="C8">
        <v>592</v>
      </c>
    </row>
    <row r="9" spans="1:3" ht="409.5" x14ac:dyDescent="0.25">
      <c r="A9" t="s">
        <v>198</v>
      </c>
      <c r="B9" s="1" t="s">
        <v>163</v>
      </c>
      <c r="C9">
        <v>1258</v>
      </c>
    </row>
    <row r="10" spans="1:3" ht="165" x14ac:dyDescent="0.25">
      <c r="A10" t="s">
        <v>213</v>
      </c>
      <c r="B10" s="1" t="s">
        <v>217</v>
      </c>
      <c r="C10">
        <v>316</v>
      </c>
    </row>
    <row r="11" spans="1:3" ht="409.5" x14ac:dyDescent="0.25">
      <c r="A11" t="s">
        <v>222</v>
      </c>
      <c r="B11" s="1" t="s">
        <v>224</v>
      </c>
      <c r="C11">
        <v>1214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2"/>
  <sheetViews>
    <sheetView workbookViewId="0">
      <selection activeCell="E17" sqref="E17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22.140625" customWidth="1"/>
    <col min="4" max="4" width="30.85546875" bestFit="1" customWidth="1"/>
    <col min="5" max="5" width="18.7109375" bestFit="1" customWidth="1"/>
    <col min="6" max="6" width="20.42578125" customWidth="1"/>
    <col min="7" max="7" width="23.5703125" customWidth="1"/>
  </cols>
  <sheetData>
    <row r="1" spans="1:8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</row>
    <row r="2" spans="1:8" x14ac:dyDescent="0.25">
      <c r="D2" t="s">
        <v>116</v>
      </c>
      <c r="E2">
        <f>A2</f>
        <v>0</v>
      </c>
      <c r="G2" t="s">
        <v>33</v>
      </c>
    </row>
    <row r="3" spans="1:8" x14ac:dyDescent="0.25">
      <c r="A3" t="s">
        <v>117</v>
      </c>
      <c r="B3" t="s">
        <v>16</v>
      </c>
      <c r="C3" t="s">
        <v>35</v>
      </c>
      <c r="D3" t="s">
        <v>140</v>
      </c>
      <c r="E3" t="s">
        <v>118</v>
      </c>
      <c r="F3" t="s">
        <v>200</v>
      </c>
      <c r="G3" t="s">
        <v>119</v>
      </c>
      <c r="H3" s="2" t="s">
        <v>131</v>
      </c>
    </row>
    <row r="4" spans="1:8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</row>
    <row r="5" spans="1:8" x14ac:dyDescent="0.25">
      <c r="A5" t="s">
        <v>118</v>
      </c>
      <c r="B5" t="s">
        <v>16</v>
      </c>
      <c r="C5" t="s">
        <v>41</v>
      </c>
      <c r="E5" t="s">
        <v>117</v>
      </c>
      <c r="F5" t="s">
        <v>42</v>
      </c>
      <c r="G5" t="s">
        <v>120</v>
      </c>
      <c r="H5" s="2" t="s">
        <v>132</v>
      </c>
    </row>
    <row r="6" spans="1:8" x14ac:dyDescent="0.25">
      <c r="A6" t="s">
        <v>17</v>
      </c>
      <c r="B6" t="s">
        <v>18</v>
      </c>
      <c r="C6" t="s">
        <v>41</v>
      </c>
      <c r="E6" t="str">
        <f t="shared" ref="E6:E11" si="0">A6</f>
        <v>Date</v>
      </c>
      <c r="F6" t="s">
        <v>115</v>
      </c>
      <c r="G6" t="s">
        <v>18</v>
      </c>
    </row>
    <row r="7" spans="1:8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8" x14ac:dyDescent="0.25">
      <c r="A8" t="s">
        <v>121</v>
      </c>
      <c r="B8" t="s">
        <v>46</v>
      </c>
      <c r="C8" t="s">
        <v>41</v>
      </c>
      <c r="E8" t="str">
        <f t="shared" si="0"/>
        <v>Duration</v>
      </c>
      <c r="F8" t="s">
        <v>47</v>
      </c>
      <c r="G8" t="s">
        <v>127</v>
      </c>
    </row>
    <row r="9" spans="1:8" x14ac:dyDescent="0.25">
      <c r="A9" t="s">
        <v>122</v>
      </c>
      <c r="B9" t="s">
        <v>16</v>
      </c>
      <c r="C9" t="s">
        <v>50</v>
      </c>
      <c r="E9" t="str">
        <f t="shared" si="0"/>
        <v>Quality</v>
      </c>
      <c r="F9" t="s">
        <v>66</v>
      </c>
      <c r="G9" t="s">
        <v>128</v>
      </c>
    </row>
    <row r="10" spans="1:8" x14ac:dyDescent="0.25">
      <c r="A10" t="s">
        <v>24</v>
      </c>
      <c r="B10" t="s">
        <v>124</v>
      </c>
      <c r="C10" t="s">
        <v>50</v>
      </c>
      <c r="E10" t="str">
        <f t="shared" si="0"/>
        <v>Notes</v>
      </c>
      <c r="F10" t="s">
        <v>125</v>
      </c>
      <c r="G10" t="s">
        <v>99</v>
      </c>
    </row>
    <row r="11" spans="1:8" x14ac:dyDescent="0.25">
      <c r="A11" t="s">
        <v>123</v>
      </c>
      <c r="B11" t="s">
        <v>22</v>
      </c>
      <c r="C11" t="s">
        <v>50</v>
      </c>
      <c r="E11" t="str">
        <f t="shared" si="0"/>
        <v>Health</v>
      </c>
      <c r="F11" t="s">
        <v>126</v>
      </c>
      <c r="G11" t="s">
        <v>129</v>
      </c>
    </row>
    <row r="12" spans="1:8" x14ac:dyDescent="0.25">
      <c r="H12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"/>
  <sheetViews>
    <sheetView topLeftCell="A11" workbookViewId="0">
      <selection activeCell="B11" sqref="B11"/>
    </sheetView>
  </sheetViews>
  <sheetFormatPr defaultRowHeight="15" x14ac:dyDescent="0.25"/>
  <cols>
    <col min="1" max="1" width="39.140625" customWidth="1"/>
    <col min="2" max="2" width="84.85546875" customWidth="1"/>
  </cols>
  <sheetData>
    <row r="1" spans="1:3" ht="150" x14ac:dyDescent="0.25">
      <c r="A1" t="s">
        <v>62</v>
      </c>
      <c r="B1" s="1" t="s">
        <v>203</v>
      </c>
    </row>
    <row r="2" spans="1:3" ht="180" x14ac:dyDescent="0.25">
      <c r="A2" t="s">
        <v>130</v>
      </c>
      <c r="B2" s="1" t="s">
        <v>194</v>
      </c>
    </row>
    <row r="3" spans="1:3" ht="45.75" customHeight="1" x14ac:dyDescent="0.25">
      <c r="A3" t="s">
        <v>143</v>
      </c>
      <c r="B3" s="1" t="s">
        <v>195</v>
      </c>
    </row>
    <row r="5" spans="1:3" ht="315" x14ac:dyDescent="0.25">
      <c r="A5" t="s">
        <v>156</v>
      </c>
      <c r="B5" s="1" t="s">
        <v>155</v>
      </c>
    </row>
    <row r="6" spans="1:3" ht="409.5" x14ac:dyDescent="0.25">
      <c r="A6" t="s">
        <v>157</v>
      </c>
      <c r="B6" s="1" t="s">
        <v>160</v>
      </c>
      <c r="C6">
        <v>1009</v>
      </c>
    </row>
    <row r="7" spans="1:3" ht="409.5" x14ac:dyDescent="0.25">
      <c r="A7" t="s">
        <v>158</v>
      </c>
      <c r="B7" s="1" t="s">
        <v>209</v>
      </c>
      <c r="C7">
        <v>1122</v>
      </c>
    </row>
    <row r="8" spans="1:3" ht="409.5" x14ac:dyDescent="0.25">
      <c r="A8" t="s">
        <v>199</v>
      </c>
      <c r="B8" s="1" t="s">
        <v>218</v>
      </c>
      <c r="C8">
        <v>556</v>
      </c>
    </row>
    <row r="9" spans="1:3" ht="409.5" x14ac:dyDescent="0.25">
      <c r="A9" t="s">
        <v>198</v>
      </c>
      <c r="B9" s="1" t="s">
        <v>166</v>
      </c>
      <c r="C9">
        <v>939</v>
      </c>
    </row>
    <row r="10" spans="1:3" ht="165" x14ac:dyDescent="0.25">
      <c r="A10" t="s">
        <v>213</v>
      </c>
      <c r="B10" s="1" t="s">
        <v>219</v>
      </c>
      <c r="C10">
        <v>301</v>
      </c>
    </row>
    <row r="11" spans="1:3" ht="409.5" x14ac:dyDescent="0.25">
      <c r="A11" t="s">
        <v>222</v>
      </c>
      <c r="B11" s="1" t="s">
        <v>226</v>
      </c>
      <c r="C11">
        <v>995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D20" sqref="D20"/>
    </sheetView>
  </sheetViews>
  <sheetFormatPr defaultRowHeight="15" x14ac:dyDescent="0.25"/>
  <cols>
    <col min="1" max="1" width="13.7109375" bestFit="1" customWidth="1"/>
    <col min="2" max="2" width="15.140625" customWidth="1"/>
    <col min="3" max="3" width="51.140625" bestFit="1" customWidth="1"/>
    <col min="4" max="4" width="30.85546875" bestFit="1" customWidth="1"/>
    <col min="5" max="5" width="18.7109375" bestFit="1" customWidth="1"/>
    <col min="6" max="6" width="19" bestFit="1" customWidth="1"/>
    <col min="7" max="7" width="16.5703125" bestFit="1" customWidth="1"/>
  </cols>
  <sheetData>
    <row r="1" spans="1:7" x14ac:dyDescent="0.25">
      <c r="A1" t="s">
        <v>23</v>
      </c>
      <c r="B1" t="s">
        <v>27</v>
      </c>
      <c r="C1" t="s">
        <v>34</v>
      </c>
      <c r="D1" t="s">
        <v>139</v>
      </c>
      <c r="E1" t="s">
        <v>30</v>
      </c>
      <c r="F1" t="s">
        <v>31</v>
      </c>
      <c r="G1" t="s">
        <v>32</v>
      </c>
    </row>
    <row r="2" spans="1:7" x14ac:dyDescent="0.25">
      <c r="D2" t="s">
        <v>171</v>
      </c>
      <c r="E2">
        <f>A2</f>
        <v>0</v>
      </c>
      <c r="G2" t="s">
        <v>33</v>
      </c>
    </row>
    <row r="3" spans="1:7" x14ac:dyDescent="0.25">
      <c r="A3" t="s">
        <v>172</v>
      </c>
      <c r="B3" t="s">
        <v>16</v>
      </c>
      <c r="C3" t="s">
        <v>35</v>
      </c>
      <c r="D3" t="s">
        <v>140</v>
      </c>
      <c r="E3" t="s">
        <v>173</v>
      </c>
      <c r="F3" t="s">
        <v>200</v>
      </c>
      <c r="G3" t="s">
        <v>169</v>
      </c>
    </row>
    <row r="4" spans="1:7" x14ac:dyDescent="0.25">
      <c r="A4" t="s">
        <v>0</v>
      </c>
      <c r="B4" t="s">
        <v>16</v>
      </c>
      <c r="C4" t="s">
        <v>38</v>
      </c>
      <c r="D4" t="s">
        <v>142</v>
      </c>
      <c r="E4" t="s">
        <v>39</v>
      </c>
      <c r="F4" t="s">
        <v>40</v>
      </c>
      <c r="G4" t="s">
        <v>61</v>
      </c>
    </row>
    <row r="5" spans="1:7" x14ac:dyDescent="0.25">
      <c r="A5" t="s">
        <v>173</v>
      </c>
      <c r="B5" t="s">
        <v>16</v>
      </c>
      <c r="C5" t="s">
        <v>41</v>
      </c>
      <c r="E5" t="s">
        <v>172</v>
      </c>
      <c r="F5" t="s">
        <v>42</v>
      </c>
      <c r="G5" t="s">
        <v>170</v>
      </c>
    </row>
    <row r="6" spans="1:7" x14ac:dyDescent="0.25">
      <c r="A6" t="s">
        <v>17</v>
      </c>
      <c r="B6" t="s">
        <v>18</v>
      </c>
      <c r="C6" t="s">
        <v>41</v>
      </c>
      <c r="E6" t="str">
        <f t="shared" ref="E6:E12" si="0">A6</f>
        <v>Date</v>
      </c>
      <c r="F6" t="s">
        <v>115</v>
      </c>
      <c r="G6" t="s">
        <v>18</v>
      </c>
    </row>
    <row r="7" spans="1:7" x14ac:dyDescent="0.25">
      <c r="A7" t="s">
        <v>45</v>
      </c>
      <c r="B7" t="s">
        <v>46</v>
      </c>
      <c r="C7" t="s">
        <v>41</v>
      </c>
      <c r="E7" t="str">
        <f t="shared" si="0"/>
        <v>Time</v>
      </c>
      <c r="F7" t="s">
        <v>47</v>
      </c>
      <c r="G7" t="s">
        <v>46</v>
      </c>
    </row>
    <row r="8" spans="1:7" x14ac:dyDescent="0.25">
      <c r="A8" t="s">
        <v>174</v>
      </c>
      <c r="B8" t="s">
        <v>25</v>
      </c>
      <c r="C8" t="s">
        <v>50</v>
      </c>
      <c r="E8" t="str">
        <f t="shared" si="0"/>
        <v>BrandName</v>
      </c>
      <c r="F8" t="s">
        <v>179</v>
      </c>
      <c r="G8" t="s">
        <v>180</v>
      </c>
    </row>
    <row r="9" spans="1:7" x14ac:dyDescent="0.25">
      <c r="A9" t="s">
        <v>175</v>
      </c>
      <c r="B9" t="s">
        <v>25</v>
      </c>
      <c r="C9" t="s">
        <v>50</v>
      </c>
      <c r="E9" t="str">
        <f t="shared" si="0"/>
        <v>Prescriber</v>
      </c>
      <c r="F9" t="s">
        <v>179</v>
      </c>
      <c r="G9" t="s">
        <v>181</v>
      </c>
    </row>
    <row r="10" spans="1:7" x14ac:dyDescent="0.25">
      <c r="A10" t="s">
        <v>176</v>
      </c>
      <c r="B10" t="s">
        <v>25</v>
      </c>
      <c r="C10" t="s">
        <v>50</v>
      </c>
      <c r="E10" t="str">
        <f t="shared" si="0"/>
        <v>Dose</v>
      </c>
      <c r="F10" t="s">
        <v>179</v>
      </c>
      <c r="G10" t="s">
        <v>182</v>
      </c>
    </row>
    <row r="11" spans="1:7" x14ac:dyDescent="0.25">
      <c r="A11" t="s">
        <v>177</v>
      </c>
      <c r="B11" t="s">
        <v>25</v>
      </c>
      <c r="C11" t="s">
        <v>50</v>
      </c>
      <c r="E11" t="str">
        <f t="shared" si="0"/>
        <v>Instructions</v>
      </c>
      <c r="F11" t="s">
        <v>179</v>
      </c>
      <c r="G11" t="s">
        <v>183</v>
      </c>
    </row>
    <row r="12" spans="1:7" x14ac:dyDescent="0.25">
      <c r="A12" t="s">
        <v>178</v>
      </c>
      <c r="B12" t="s">
        <v>25</v>
      </c>
      <c r="C12" t="s">
        <v>50</v>
      </c>
      <c r="E12" t="str">
        <f t="shared" si="0"/>
        <v>Warnings</v>
      </c>
      <c r="F12" t="s">
        <v>179</v>
      </c>
      <c r="G12" t="s">
        <v>184</v>
      </c>
    </row>
    <row r="13" spans="1:7" x14ac:dyDescent="0.25">
      <c r="A13" t="s">
        <v>24</v>
      </c>
      <c r="B13" t="s">
        <v>25</v>
      </c>
      <c r="C13" t="s">
        <v>50</v>
      </c>
      <c r="E13" t="str">
        <f t="shared" ref="E13" si="1">A13</f>
        <v>Notes</v>
      </c>
      <c r="F13" t="s">
        <v>125</v>
      </c>
      <c r="G13" t="s">
        <v>99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1"/>
  <sheetViews>
    <sheetView topLeftCell="A10" workbookViewId="0">
      <selection activeCell="B11" sqref="B11"/>
    </sheetView>
  </sheetViews>
  <sheetFormatPr defaultRowHeight="15" x14ac:dyDescent="0.25"/>
  <cols>
    <col min="1" max="1" width="35.5703125" bestFit="1" customWidth="1"/>
    <col min="2" max="2" width="125" customWidth="1"/>
  </cols>
  <sheetData>
    <row r="1" spans="1:3" ht="180" x14ac:dyDescent="0.25">
      <c r="A1" t="s">
        <v>62</v>
      </c>
      <c r="B1" s="1" t="s">
        <v>204</v>
      </c>
    </row>
    <row r="2" spans="1:3" ht="180" x14ac:dyDescent="0.25">
      <c r="A2" t="s">
        <v>130</v>
      </c>
      <c r="B2" s="1" t="s">
        <v>196</v>
      </c>
    </row>
    <row r="3" spans="1:3" ht="30" x14ac:dyDescent="0.25">
      <c r="A3" t="s">
        <v>143</v>
      </c>
      <c r="B3" s="1" t="s">
        <v>197</v>
      </c>
    </row>
    <row r="5" spans="1:3" ht="345" x14ac:dyDescent="0.25">
      <c r="A5" t="s">
        <v>156</v>
      </c>
      <c r="B5" s="1" t="s">
        <v>185</v>
      </c>
    </row>
    <row r="6" spans="1:3" ht="409.5" x14ac:dyDescent="0.25">
      <c r="A6" t="s">
        <v>157</v>
      </c>
      <c r="B6" s="1" t="s">
        <v>186</v>
      </c>
      <c r="C6">
        <v>1096</v>
      </c>
    </row>
    <row r="7" spans="1:3" ht="409.5" x14ac:dyDescent="0.25">
      <c r="A7" t="s">
        <v>158</v>
      </c>
      <c r="B7" s="1" t="s">
        <v>210</v>
      </c>
      <c r="C7">
        <v>1222</v>
      </c>
    </row>
    <row r="8" spans="1:3" ht="409.5" x14ac:dyDescent="0.25">
      <c r="A8" t="s">
        <v>199</v>
      </c>
      <c r="B8" s="1" t="s">
        <v>220</v>
      </c>
      <c r="C8">
        <v>616</v>
      </c>
    </row>
    <row r="9" spans="1:3" ht="409.5" x14ac:dyDescent="0.25">
      <c r="A9" t="s">
        <v>198</v>
      </c>
      <c r="B9" s="1" t="s">
        <v>187</v>
      </c>
      <c r="C9">
        <v>1167</v>
      </c>
    </row>
    <row r="10" spans="1:3" ht="165" x14ac:dyDescent="0.25">
      <c r="A10" t="s">
        <v>213</v>
      </c>
      <c r="B10" s="1" t="s">
        <v>221</v>
      </c>
      <c r="C10">
        <v>326</v>
      </c>
    </row>
    <row r="11" spans="1:3" ht="409.5" x14ac:dyDescent="0.25">
      <c r="A11" t="s">
        <v>222</v>
      </c>
      <c r="B11" s="1" t="s">
        <v>227</v>
      </c>
      <c r="C11">
        <v>1156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Mood</vt:lpstr>
      <vt:lpstr>MoodOutput</vt:lpstr>
      <vt:lpstr>Diet</vt:lpstr>
      <vt:lpstr>DietOutput</vt:lpstr>
      <vt:lpstr>Exercise</vt:lpstr>
      <vt:lpstr>ExerciseOutput</vt:lpstr>
      <vt:lpstr>Sleep</vt:lpstr>
      <vt:lpstr>SleepOutput</vt:lpstr>
      <vt:lpstr>Medication</vt:lpstr>
      <vt:lpstr>MedicationOutput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TJ</cp:lastModifiedBy>
  <dcterms:created xsi:type="dcterms:W3CDTF">2016-03-07T07:02:10Z</dcterms:created>
  <dcterms:modified xsi:type="dcterms:W3CDTF">2016-04-18T10:47:38Z</dcterms:modified>
</cp:coreProperties>
</file>