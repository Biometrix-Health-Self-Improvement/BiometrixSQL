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0" yWindow="0" windowWidth="16905" windowHeight="4260" tabRatio="599" activeTab="1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13" i="9"/>
  <c r="E14" i="9"/>
  <c r="E15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<sst xmlns="http://schemas.openxmlformats.org/spreadsheetml/2006/main" count="506" uniqueCount="221">
  <si>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</si>
  <si>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</si>
  <si>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</si>
  <si>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</si>
  <si>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</si>
  <si>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</si>
  <si>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</si>
  <si>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</si>
  <si>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</si>
  <si>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</si>
  <si>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</si>
  <si>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</si>
  <si>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</si>
  <si>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</si>
  <si>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</si>
  <si>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</si>
  <si>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</si>
  <si>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</si>
  <si>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</si>
  <si>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</si>
  <si>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</si>
  <si>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</si>
  <si>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</si>
  <si>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</si>
  <si>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</si>
  <si>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</si>
  <si>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</si>
  <si>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</si>
  <si>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</si>
  <si>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</si>
  <si>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</si>
  <si>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</si>
  <si>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</si>
  <si>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</si>
  <si>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</si>
  <si>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</si>
  <si>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</si>
  <si>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</si>
  <si>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</si>
  <si>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</si>
  <si>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</si>
  <si>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</si>
  <si>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</si>
  <si>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</si>
  <si>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</si>
  <si>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</si>
  <si>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</si>
  <si>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</si>
  <si>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</si>
  <si>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</si>
  <si>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</si>
  <si>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</si>
  <si>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</si>
  <si>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</si>
  <si>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</si>
  <si>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</si>
  <si>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</si>
  <si>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</si>
  <si>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</si>
  <si>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</si>
  <si>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</si>
  <si>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</si>
  <si>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</si>
  <si>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</si>
  <si>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</si>
  <si>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</si>
  <si>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</si>
  <si>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</si>
  <si>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</si>
  <si>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</si>
  <si>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</si>
  <si>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</si>
  <si>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</si>
  <si>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</si>
  <si>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</si>
  <si>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</si>
  <si>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</si>
  <si>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</si>
  <si>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</si>
  <si>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</si>
  <si>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</si>
  <si>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</si>
  <si>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</si>
  <si>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</si>
  <si>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</si>
  <si>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</si>
  <si>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</si>
  <si>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</si>
  <si>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</si>
  <si>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</si>
  <si>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</si>
  <si>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</si>
  <si>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</si>
  <si>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</si>
  <si>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</si>
  <si>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REPS</t>
  </si>
  <si>
    <t>LAPS</t>
  </si>
  <si>
    <t>WEIGHT</t>
  </si>
  <si>
    <t>INTY</t>
  </si>
  <si>
    <t>NOTES</t>
  </si>
  <si>
    <t>Title</t>
  </si>
  <si>
    <t>Type</t>
  </si>
  <si>
    <t>Minutes</t>
  </si>
  <si>
    <t>Reps</t>
  </si>
  <si>
    <t>Laps</t>
  </si>
  <si>
    <t>Weight</t>
  </si>
  <si>
    <t>Inty</t>
  </si>
  <si>
    <t>DateEx</t>
  </si>
  <si>
    <t>TimeEx</t>
  </si>
  <si>
    <t>VARCHAR(140)</t>
  </si>
  <si>
    <t>TINYINT</t>
  </si>
  <si>
    <t>SMALLINT</t>
  </si>
  <si>
    <t>varchar(140)</t>
  </si>
  <si>
    <t>tinyint</t>
  </si>
  <si>
    <t>smallint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</si>
  <si>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</si>
  <si>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</si>
  <si>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</si>
  <si>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</si>
  <si>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</si>
  <si>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</si>
  <si>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</si>
  <si>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</si>
  <si>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</si>
  <si>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</si>
  <si>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</si>
  <si>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</si>
  <si>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</si>
  <si>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</si>
  <si>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</si>
  <si>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</si>
  <si>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</si>
  <si>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</si>
  <si>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</si>
  <si>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</si>
  <si>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</si>
  <si>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</si>
  <si>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</si>
  <si>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Reps or laps, data significance determined by module mode WHICH IS NOT IMPLEMENTED YET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</si>
  <si>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</si>
  <si>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</si>
  <si>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</si>
  <si>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</si>
  <si>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</si>
  <si>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</si>
  <si>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</si>
  <si>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</si>
  <si>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</si>
  <si>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</si>
  <si>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</si>
  <si>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</si>
  <si>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</si>
  <si>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</si>
  <si>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</si>
  <si>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</si>
  <si>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</si>
  <si>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</si>
  <si>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</si>
  <si>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</si>
  <si>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</si>
  <si>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</si>
  <si>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[Reps] TINYINT NULL_x000D_
	, [Laps] TINYINT NULL_x000D_
	, [Weight] SMALLINT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</si>
  <si>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@Reps VARCHAR(50), @Laps VARCHAR(50), @Weight VARCHAR(50), _x000D_
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[Reps], [Laps], [Weight], [Inty], [Notes], [DateEx], _x000D_
[TimeEx])_x000D_
Values_x000D_
(@UserID2, @LocalExerciseID2, @Title, @Type, @Minutes2, @Reps2, @Laps2, @Weight2, @Inty2, @Notes, @DateEx, _x000D_
@TimeEx)_x000D_
_x000D_
Select [LocalExerciseID], [WebExerciseID] From dbo.Exercise_x000D_
Where [UserID] = @UserID2 AND [LocalExerciseID] = @LocalExerciseID2_x000D_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</si>
  <si>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@Reps = :Reps";_x000D_
$prep_string = $prep_string . ", @Laps = :Laps";_x000D_
$prep_string = $prep_string . ", @Weight = :Weight";_x000D_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"Reps";_x000D_
$cols["7"] = "Laps";_x000D_
$cols["8"] = "Weight";_x000D_
$cols["9"] = "Inty";_x000D_
$cols["10"] = "Notes";_x000D_
$cols["11"] = "DateEx";_x000D_
$cols["12"] = "TimeEx";_x000D_
_x000D_
if ($operation == "Update")_x000D_
{_x000D_
	$cols["13"] = "WebExerciseID";_x000D_
}_x000D_
break;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</si>
  <si>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</si>
  <si>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</si>
  <si>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</si>
  <si>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</si>
  <si>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</si>
  <si>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</si>
  <si>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</si>
  <si>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</si>
  <si>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</si>
  <si>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</si>
  <si>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</si>
  <si>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</si>
  <si>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</si>
  <si>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</si>
  <si>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</si>
  <si>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</si>
  <si>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</si>
  <si>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</si>
  <si>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</si>
  <si>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</si>
  <si>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</si>
  <si>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</si>
  <si>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</si>
  <si>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</si>
  <si>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</si>
  <si>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</si>
  <si>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</si>
  <si>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</si>
  <si>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REPS = "Reps";//Reps or laps, data significance determined by module mode WHICH IS NOT IMPLEMENTED YET_x000D_
public static final String LAPS = "Laps";_x000D_
public static final String WEIGHT = "Weight";_x000D_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</si>
  <si>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REPS, LAPS, WEIGHT, INTY, NOTES, DATE, TIME};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</si>
  <si>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</t>
  </si>
  <si>
    <t>public static final String[] columns = {LOCAL_SLEEP_ID, USER_NAME, WEB_SLEEP_ID, DATE, _x000D_
TIME, DURATION, QUALITY, NOTES, HEALTH};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</si>
  <si>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</si>
  <si>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</si>
  <si>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</si>
  <si>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</si>
  <si>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case "Mood":_x000D_
$prep_string = "Exec MoodDelete";_x000D_
$prep_string = $prep_string . " @WebMoodID = :WebMoodID";_x000D_
$prep_string = $prep_string . ", @UserID = :UserID";_x000D_
$prep_string = $prep_string . ", @LocalMoodID = :LocalMoodID";_x000D_
_x000D_
$stmt_handle = $db_connection-&gt;Prepare($prep_string);_x000D_
_x000D_
$cols = array();_x000D_
$cols["1"] = "WebMoodID";_x000D_
$cols["2"] = "UserID";_x000D_
$cols["3"] = "LocalMoodID";_x000D_
break;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</si>
  <si>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</si>
  <si>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</si>
  <si>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case "Diet":_x000D_
$prep_string = "Exec DietDelete";_x000D_
$prep_string = $prep_string . " @WebDietID = :WebDietID";_x000D_
$prep_string = $prep_string . ", @UserID = :UserID";_x000D_
$prep_string = $prep_string . ", @LocalDietID = :LocalDietID";_x000D_
_x000D_
$stmt_handle = $db_connection-&gt;Prepare($prep_string);_x000D_
_x000D_
$cols = array();_x000D_
$cols["1"] = "WebDietID";_x000D_
$cols["2"] = "UserID";_x000D_
$cols["3"] = "LocalDietID";_x000D_
break;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</si>
  <si>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REPS + " tinyint, " +_x000D_
LAPS + " tinyint, " +_x000D_
WEIGHT + " smallint, " +_x000D_
INTY + " tinyint, " +_x000D_
NOTES + " varchar(255), " +_x000D_
DATE + " date, " +_x000D_
TIME + " varchar(50)" +");";</t>
  </si>
  <si>
    <t>case "Exercise":_x000D_
$prep_string = "Exec ExerciseDelete";_x000D_
$prep_string = $prep_string . " @WebExerciseID = :WebExerciseID";_x000D_
$prep_string = $prep_string . ", @UserID = :UserID";_x000D_
$prep_string = $prep_string . ", @LocalExerciseID = :LocalExerciseID";_x000D_
_x000D_
$stmt_handle = $db_connection-&gt;Prepare($prep_string);_x000D_
_x000D_
$cols = array();_x000D_
$cols["1"] = "WebExerciseID";_x000D_
$cols["2"] = "UserID";_x000D_
$cols["3"] = "LocalExerciseID";_x000D_
break;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</si>
  <si>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varchar(20)" +");";</t>
  </si>
  <si>
    <t>case "Sleep":_x000D_
$prep_string = "Exec SleepDelete";_x000D_
$prep_string = $prep_string . " @WebSleepID = :WebSleepID";_x000D_
$prep_string = $prep_string . ", @UserID = :UserID";_x000D_
$prep_string = $prep_string . ", @LocalSleepID = :LocalSleepID";_x000D_
_x000D_
$stmt_handle = $db_connection-&gt;Prepare($prep_string);_x000D_
_x000D_
$cols = array();_x000D_
$cols["1"] = "WebSleepID";_x000D_
$cols["2"] = "UserID";_x000D_
$cols["3"] = "LocalSleepID";_x000D_
break;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</si>
  <si>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</si>
  <si>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case "Medication":_x000D_
$prep_string = "Exec MedicationDelete";_x000D_
$prep_string = $prep_string . " @WebMedicationID = :WebMedicationID";_x000D_
$prep_string = $prep_string . ", @UserID = :UserID";_x000D_
$prep_string = $prep_string . ", @LocalMedicationID = :LocalMedicationID";_x000D_
_x000D_
$stmt_handle = $db_connection-&gt;Prepare($prep_string);_x000D_
_x000D_
$cols = array();_x000D_
$cols["1"] = "WebMedicationID";_x000D_
$cols["2"] = "UserID";_x000D_
$cols["3"] = "LocalMedicationID";_x000D_
break;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</si>
  <si>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</si>
  <si>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Object_ID('MoodDelete') is NOT NULL_x000D_
BEGIN_x000D_
DROP PROCEDURE MoodDelete_x000D_
END_x000D_
GO_x000D_
_x000D_
CREATE PROCEDURE MoodDelete @UserID VARCHAR(50), @LocalMoodID VARCHAR(50),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 AND [LocalMoodID] = @LocalMoodID_x000D_
Select @@RowCount as NumRows_x000D_
GO</t>
  </si>
  <si>
    <t>USE [Biometrix]_x000D_
GO_x000D_
if Object_ID('SleepDelete') is NOT NULL_x000D_
BEGIN_x000D_
DROP PROCEDURE SleepDelete_x000D_
END_x000D_
GO_x000D_
_x000D_
CREATE PROCEDURE SleepDelete @UserID VARCHAR(50), @LocalSleepID VARCHAR(50),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 AND [LocalSleepID] = @LocalSleepID_x000D_
Select @@RowCount as NumRows_x000D_
GO</t>
  </si>
  <si>
    <t>USE [Biometrix]_x000D_
GO_x000D_
if Object_ID('MedicationDelete') is NOT NULL_x000D_
BEGIN_x000D_
DROP PROCEDURE MedicationDelete_x000D_
END_x000D_
GO_x000D_
_x000D_
CREATE PROCEDURE MedicationDelete @UserID VARCHAR(50), @LocalMedicationID VARCHAR(50), _x000D_
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 AND [LocalMedicationID] = @LocalMedicationID_x000D_
Select @@RowCount as NumRows_x000D_
GO</t>
  </si>
  <si>
    <t>USE [Biometrix]_x000D_
GO_x000D_
if Object_ID('ExerciseDelete') is NOT NULL_x000D_
BEGIN_x000D_
DROP PROCEDURE ExerciseDelete_x000D_
END_x000D_
GO_x000D_
_x000D_
CREATE PROCEDURE ExerciseDelete @UserID VARCHAR(50), @LocalExerciseID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 AND [LocalExerciseID] = @LocalExerciseID_x000D_
Select @@RowCount as NumRows_x000D_
GO</t>
  </si>
  <si>
    <t>USE [Biometrix]_x000D_
GO_x000D_
if Object_ID('DietDelete') is NOT NULL_x000D_
BEGIN_x000D_
DROP PROCEDURE DietDelete_x000D_
END_x000D_
GO_x000D_
_x000D_
CREATE PROCEDURE DietDelete @UserID VARCHAR(50), @LocalDietID VARCHAR(50), 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 AND [LocalDietID] = @LocalDietID_x000D_
Select @@RowCount as NumRows_x000D_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</si>
  <si>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</si>
  <si>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</si>
  <si>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@Reps VARCHAR(50), @Laps VARCHAR(50), @Weight VARCHAR(50), _x000D_
@Inty VARCHAR(50), @Notes VARCHAR(255), @DateEx DATE, @TimeEx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[Reps] = @Reps2, _x000D_
[Laps] = @Laps2, [Weight] = @Weight2, [Inty] = @Inty2, [Notes] = @Notes, [DateEx] = @DateEx, [TimeEx] = @TimeEx_x000D_
Where [WebExerciseID] = @WebExerciseID2 AND [UserID] = @UserID2_x000D_
Select @@RowCount as NumRows_x000D_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</si>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</sst>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144</v>
      </c>
    </row>
    <row r="2" spans="1:1" x14ac:dyDescent="0.25">
      <c r="A2" t="s">
        <v>145</v>
      </c>
    </row>
    <row r="4" spans="1:1" x14ac:dyDescent="0.25">
      <c r="A4" t="s">
        <v>150</v>
      </c>
    </row>
    <row r="5" spans="1:1" x14ac:dyDescent="0.25">
      <c r="A5" t="s">
        <v>146</v>
      </c>
    </row>
    <row r="6" spans="1:1" x14ac:dyDescent="0.25">
      <c r="A6" t="s">
        <v>147</v>
      </c>
    </row>
    <row r="7" spans="1:1" x14ac:dyDescent="0.25">
      <c r="A7" t="s">
        <v>148</v>
      </c>
    </row>
    <row r="8" spans="1:1" x14ac:dyDescent="0.25">
      <c r="A8" t="s">
        <v>149</v>
      </c>
    </row>
    <row r="10" spans="1:1" x14ac:dyDescent="0.25">
      <c r="A10" t="s">
        <v>151</v>
      </c>
    </row>
    <row r="11" spans="1:1" x14ac:dyDescent="0.25">
      <c r="A11" t="s">
        <v>152</v>
      </c>
    </row>
    <row r="12" spans="1:1" x14ac:dyDescent="0.25">
      <c r="A12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D21" sqref="D21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140</v>
      </c>
      <c r="E3" t="s">
        <v>36</v>
      </c>
      <c r="F3" t="s">
        <v>201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"/>
  <sheetViews>
    <sheetView topLeftCell="A7" workbookViewId="0">
      <selection activeCell="B7" sqref="B7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210</v>
      </c>
    </row>
    <row r="2" spans="1:3" ht="165" x14ac:dyDescent="0.25">
      <c r="A2" t="s">
        <v>130</v>
      </c>
      <c r="B2" s="1" t="s">
        <v>188</v>
      </c>
    </row>
    <row r="3" spans="1:3" ht="30" x14ac:dyDescent="0.25">
      <c r="A3" t="s">
        <v>143</v>
      </c>
      <c r="B3" s="1" t="s">
        <v>189</v>
      </c>
    </row>
    <row r="5" spans="1:3" ht="330" x14ac:dyDescent="0.25">
      <c r="A5" t="s">
        <v>156</v>
      </c>
      <c r="B5" s="1" t="s">
        <v>167</v>
      </c>
    </row>
    <row r="6" spans="1:3" ht="409.5" x14ac:dyDescent="0.25">
      <c r="A6" t="s">
        <v>157</v>
      </c>
      <c r="B6" s="1" t="s">
        <v>168</v>
      </c>
      <c r="C6">
        <v>1470</v>
      </c>
    </row>
    <row r="7" spans="1:3" ht="409.5" x14ac:dyDescent="0.25">
      <c r="A7" t="s">
        <v>158</v>
      </c>
      <c r="B7" s="1" t="s">
        <v>216</v>
      </c>
      <c r="C7">
        <v>1581</v>
      </c>
    </row>
    <row r="8" spans="1:3" ht="409.5" x14ac:dyDescent="0.25">
      <c r="A8" t="s">
        <v>199</v>
      </c>
      <c r="B8" s="1" t="s">
        <v>211</v>
      </c>
      <c r="C8">
        <v>750</v>
      </c>
    </row>
    <row r="9" spans="1:3" ht="409.5" x14ac:dyDescent="0.25">
      <c r="A9" t="s">
        <v>198</v>
      </c>
      <c r="B9" s="1" t="s">
        <v>164</v>
      </c>
      <c r="C9">
        <v>1031</v>
      </c>
    </row>
    <row r="10" spans="1:3" ht="195" x14ac:dyDescent="0.25">
      <c r="A10" t="s">
        <v>198</v>
      </c>
      <c r="B10" s="1" t="s">
        <v>200</v>
      </c>
      <c r="C10">
        <v>389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D29" sqref="D2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140</v>
      </c>
      <c r="E3" t="s">
        <v>1</v>
      </c>
      <c r="F3" t="s">
        <v>201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0"/>
  <sheetViews>
    <sheetView topLeftCell="A7" workbookViewId="0">
      <selection activeCell="B7" sqref="B7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202</v>
      </c>
    </row>
    <row r="2" spans="1:3" ht="345" x14ac:dyDescent="0.25">
      <c r="A2" t="s">
        <v>130</v>
      </c>
      <c r="B2" s="1" t="s">
        <v>190</v>
      </c>
    </row>
    <row r="3" spans="1:3" ht="45" x14ac:dyDescent="0.25">
      <c r="A3" t="s">
        <v>143</v>
      </c>
      <c r="B3" s="1" t="s">
        <v>191</v>
      </c>
    </row>
    <row r="5" spans="1:3" ht="409.5" x14ac:dyDescent="0.25">
      <c r="A5" t="s">
        <v>156</v>
      </c>
      <c r="B5" s="1" t="s">
        <v>154</v>
      </c>
    </row>
    <row r="6" spans="1:3" ht="409.5" x14ac:dyDescent="0.25">
      <c r="A6" t="s">
        <v>157</v>
      </c>
      <c r="B6" s="1" t="s">
        <v>159</v>
      </c>
      <c r="C6">
        <v>3368</v>
      </c>
    </row>
    <row r="7" spans="1:3" ht="409.5" x14ac:dyDescent="0.25">
      <c r="A7" t="s">
        <v>158</v>
      </c>
      <c r="B7" s="1" t="s">
        <v>217</v>
      </c>
      <c r="C7">
        <v>3491</v>
      </c>
    </row>
    <row r="8" spans="1:3" ht="409.5" x14ac:dyDescent="0.25">
      <c r="A8" t="s">
        <v>199</v>
      </c>
      <c r="B8" s="1" t="s">
        <v>215</v>
      </c>
      <c r="C8">
        <v>750</v>
      </c>
    </row>
    <row r="9" spans="1:3" ht="409.5" x14ac:dyDescent="0.25">
      <c r="A9" t="s">
        <v>198</v>
      </c>
      <c r="B9" s="1" t="s">
        <v>165</v>
      </c>
      <c r="C9">
        <v>2063</v>
      </c>
    </row>
    <row r="10" spans="1:3" ht="195" x14ac:dyDescent="0.25">
      <c r="A10" t="s">
        <v>198</v>
      </c>
      <c r="B10" s="1" t="s">
        <v>203</v>
      </c>
      <c r="C10">
        <v>389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E39" sqref="E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140</v>
      </c>
      <c r="E3" t="s">
        <v>92</v>
      </c>
      <c r="F3" t="s">
        <v>201</v>
      </c>
      <c r="G3" t="s">
        <v>89</v>
      </c>
      <c r="H3" s="2" t="s">
        <v>133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  <c r="H4" s="2" t="s">
        <v>134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100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135</v>
      </c>
    </row>
    <row r="7" spans="1:8" x14ac:dyDescent="0.25">
      <c r="A7" t="s">
        <v>101</v>
      </c>
      <c r="B7" t="s">
        <v>109</v>
      </c>
      <c r="C7" t="s">
        <v>50</v>
      </c>
      <c r="E7" t="str">
        <f t="shared" ref="E7:E15" si="0">A7</f>
        <v>Type</v>
      </c>
      <c r="F7" t="s">
        <v>112</v>
      </c>
      <c r="G7" t="s">
        <v>70</v>
      </c>
      <c r="H7" s="2" t="s">
        <v>136</v>
      </c>
    </row>
    <row r="8" spans="1:8" x14ac:dyDescent="0.25">
      <c r="A8" t="s">
        <v>102</v>
      </c>
      <c r="B8" t="s">
        <v>110</v>
      </c>
      <c r="C8" t="s">
        <v>50</v>
      </c>
      <c r="E8" t="str">
        <f t="shared" si="0"/>
        <v>Minutes</v>
      </c>
      <c r="F8" t="s">
        <v>113</v>
      </c>
      <c r="G8" t="s">
        <v>94</v>
      </c>
      <c r="H8" s="2" t="s">
        <v>137</v>
      </c>
    </row>
    <row r="9" spans="1:8" x14ac:dyDescent="0.25">
      <c r="A9" t="s">
        <v>103</v>
      </c>
      <c r="B9" t="s">
        <v>110</v>
      </c>
      <c r="C9" t="s">
        <v>50</v>
      </c>
      <c r="E9" t="str">
        <f t="shared" si="0"/>
        <v>Reps</v>
      </c>
      <c r="F9" t="s">
        <v>113</v>
      </c>
      <c r="G9" t="s">
        <v>95</v>
      </c>
      <c r="H9" s="2" t="s">
        <v>138</v>
      </c>
    </row>
    <row r="10" spans="1:8" x14ac:dyDescent="0.25">
      <c r="A10" t="s">
        <v>104</v>
      </c>
      <c r="B10" t="s">
        <v>110</v>
      </c>
      <c r="C10" t="s">
        <v>50</v>
      </c>
      <c r="E10" t="str">
        <f t="shared" si="0"/>
        <v>Laps</v>
      </c>
      <c r="F10" t="s">
        <v>113</v>
      </c>
      <c r="G10" t="s">
        <v>96</v>
      </c>
    </row>
    <row r="11" spans="1:8" x14ac:dyDescent="0.25">
      <c r="A11" t="s">
        <v>105</v>
      </c>
      <c r="B11" t="s">
        <v>111</v>
      </c>
      <c r="C11" t="s">
        <v>50</v>
      </c>
      <c r="E11" t="str">
        <f t="shared" si="0"/>
        <v>Weight</v>
      </c>
      <c r="F11" t="s">
        <v>114</v>
      </c>
      <c r="G11" t="s">
        <v>97</v>
      </c>
    </row>
    <row r="12" spans="1:8" x14ac:dyDescent="0.25">
      <c r="A12" t="s">
        <v>106</v>
      </c>
      <c r="B12" t="s">
        <v>110</v>
      </c>
      <c r="C12" t="s">
        <v>50</v>
      </c>
      <c r="E12" t="str">
        <f t="shared" si="0"/>
        <v>Inty</v>
      </c>
      <c r="F12" t="s">
        <v>113</v>
      </c>
      <c r="G12" t="s">
        <v>98</v>
      </c>
    </row>
    <row r="13" spans="1:8" x14ac:dyDescent="0.25">
      <c r="A13" t="s">
        <v>24</v>
      </c>
      <c r="B13" t="s">
        <v>25</v>
      </c>
      <c r="C13" t="s">
        <v>50</v>
      </c>
      <c r="E13" t="str">
        <f t="shared" si="0"/>
        <v>Notes</v>
      </c>
      <c r="F13" t="s">
        <v>59</v>
      </c>
      <c r="G13" t="s">
        <v>99</v>
      </c>
    </row>
    <row r="14" spans="1:8" x14ac:dyDescent="0.25">
      <c r="A14" t="s">
        <v>107</v>
      </c>
      <c r="B14" t="s">
        <v>18</v>
      </c>
      <c r="C14" t="s">
        <v>41</v>
      </c>
      <c r="E14" t="str">
        <f t="shared" si="0"/>
        <v>DateEx</v>
      </c>
      <c r="F14" t="s">
        <v>115</v>
      </c>
      <c r="G14" t="s">
        <v>18</v>
      </c>
    </row>
    <row r="15" spans="1:8" x14ac:dyDescent="0.25">
      <c r="A15" t="s">
        <v>108</v>
      </c>
      <c r="B15" t="s">
        <v>49</v>
      </c>
      <c r="C15" t="s">
        <v>41</v>
      </c>
      <c r="E15" t="str">
        <f t="shared" si="0"/>
        <v>TimeEx</v>
      </c>
      <c r="F15" t="s">
        <v>51</v>
      </c>
      <c r="G15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0"/>
  <sheetViews>
    <sheetView topLeftCell="A7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210" x14ac:dyDescent="0.25">
      <c r="A1" t="s">
        <v>62</v>
      </c>
      <c r="B1" s="1" t="s">
        <v>204</v>
      </c>
    </row>
    <row r="2" spans="1:3" ht="240" x14ac:dyDescent="0.25">
      <c r="A2" t="s">
        <v>130</v>
      </c>
      <c r="B2" s="1" t="s">
        <v>192</v>
      </c>
    </row>
    <row r="3" spans="1:3" ht="30" x14ac:dyDescent="0.25">
      <c r="A3" t="s">
        <v>143</v>
      </c>
      <c r="B3" s="1" t="s">
        <v>193</v>
      </c>
    </row>
    <row r="5" spans="1:3" ht="375" x14ac:dyDescent="0.25">
      <c r="A5" t="s">
        <v>156</v>
      </c>
      <c r="B5" s="1" t="s">
        <v>161</v>
      </c>
    </row>
    <row r="6" spans="1:3" ht="409.5" x14ac:dyDescent="0.25">
      <c r="A6" t="s">
        <v>157</v>
      </c>
      <c r="B6" s="1" t="s">
        <v>162</v>
      </c>
      <c r="C6">
        <v>1717</v>
      </c>
    </row>
    <row r="7" spans="1:3" ht="409.5" x14ac:dyDescent="0.25">
      <c r="A7" t="s">
        <v>158</v>
      </c>
      <c r="B7" s="1" t="s">
        <v>218</v>
      </c>
      <c r="C7">
        <v>1839</v>
      </c>
    </row>
    <row r="8" spans="1:3" ht="409.5" x14ac:dyDescent="0.25">
      <c r="A8" t="s">
        <v>199</v>
      </c>
      <c r="B8" s="1" t="s">
        <v>214</v>
      </c>
      <c r="C8">
        <v>830</v>
      </c>
    </row>
    <row r="9" spans="1:3" ht="409.5" x14ac:dyDescent="0.25">
      <c r="A9" t="s">
        <v>198</v>
      </c>
      <c r="B9" s="1" t="s">
        <v>163</v>
      </c>
      <c r="C9">
        <v>1258</v>
      </c>
    </row>
    <row r="10" spans="1:3" ht="195" x14ac:dyDescent="0.25">
      <c r="A10" t="s">
        <v>198</v>
      </c>
      <c r="B10" s="1" t="s">
        <v>205</v>
      </c>
      <c r="C10">
        <v>421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17" sqref="E1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8" x14ac:dyDescent="0.25">
      <c r="D2" t="s">
        <v>116</v>
      </c>
      <c r="E2">
        <f>A2</f>
        <v>0</v>
      </c>
      <c r="G2" t="s">
        <v>33</v>
      </c>
    </row>
    <row r="3" spans="1:8" x14ac:dyDescent="0.25">
      <c r="A3" t="s">
        <v>117</v>
      </c>
      <c r="B3" t="s">
        <v>16</v>
      </c>
      <c r="C3" t="s">
        <v>35</v>
      </c>
      <c r="D3" t="s">
        <v>140</v>
      </c>
      <c r="E3" t="s">
        <v>118</v>
      </c>
      <c r="F3" t="s">
        <v>201</v>
      </c>
      <c r="G3" t="s">
        <v>119</v>
      </c>
      <c r="H3" s="2" t="s">
        <v>131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8" x14ac:dyDescent="0.25">
      <c r="A5" t="s">
        <v>118</v>
      </c>
      <c r="B5" t="s">
        <v>16</v>
      </c>
      <c r="C5" t="s">
        <v>41</v>
      </c>
      <c r="E5" t="s">
        <v>117</v>
      </c>
      <c r="F5" t="s">
        <v>42</v>
      </c>
      <c r="G5" t="s">
        <v>120</v>
      </c>
      <c r="H5" s="2" t="s">
        <v>132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1" si="0">A6</f>
        <v>Date</v>
      </c>
      <c r="F6" t="s">
        <v>115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121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127</v>
      </c>
    </row>
    <row r="9" spans="1:8" x14ac:dyDescent="0.25">
      <c r="A9" t="s">
        <v>122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128</v>
      </c>
    </row>
    <row r="10" spans="1:8" x14ac:dyDescent="0.25">
      <c r="A10" t="s">
        <v>24</v>
      </c>
      <c r="B10" t="s">
        <v>124</v>
      </c>
      <c r="C10" t="s">
        <v>50</v>
      </c>
      <c r="E10" t="str">
        <f t="shared" si="0"/>
        <v>Notes</v>
      </c>
      <c r="F10" t="s">
        <v>125</v>
      </c>
      <c r="G10" t="s">
        <v>99</v>
      </c>
    </row>
    <row r="11" spans="1:8" x14ac:dyDescent="0.25">
      <c r="A11" t="s">
        <v>123</v>
      </c>
      <c r="B11" t="s">
        <v>22</v>
      </c>
      <c r="C11" t="s">
        <v>50</v>
      </c>
      <c r="E11" t="str">
        <f t="shared" si="0"/>
        <v>Health</v>
      </c>
      <c r="F11" t="s">
        <v>126</v>
      </c>
      <c r="G11" t="s">
        <v>129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0"/>
  <sheetViews>
    <sheetView topLeftCell="A7" workbookViewId="0">
      <selection activeCell="B7" sqref="B7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50" x14ac:dyDescent="0.25">
      <c r="A1" t="s">
        <v>62</v>
      </c>
      <c r="B1" s="1" t="s">
        <v>206</v>
      </c>
    </row>
    <row r="2" spans="1:3" ht="180" x14ac:dyDescent="0.25">
      <c r="A2" t="s">
        <v>130</v>
      </c>
      <c r="B2" s="1" t="s">
        <v>194</v>
      </c>
    </row>
    <row r="3" spans="1:3" ht="45.75" customHeight="1" x14ac:dyDescent="0.25">
      <c r="A3" t="s">
        <v>143</v>
      </c>
      <c r="B3" s="1" t="s">
        <v>195</v>
      </c>
    </row>
    <row r="5" spans="1:3" ht="315" x14ac:dyDescent="0.25">
      <c r="A5" t="s">
        <v>156</v>
      </c>
      <c r="B5" s="1" t="s">
        <v>155</v>
      </c>
    </row>
    <row r="6" spans="1:3" ht="409.5" x14ac:dyDescent="0.25">
      <c r="A6" t="s">
        <v>157</v>
      </c>
      <c r="B6" s="1" t="s">
        <v>160</v>
      </c>
      <c r="C6">
        <v>1009</v>
      </c>
    </row>
    <row r="7" spans="1:3" ht="409.5" x14ac:dyDescent="0.25">
      <c r="A7" t="s">
        <v>158</v>
      </c>
      <c r="B7" s="1" t="s">
        <v>219</v>
      </c>
      <c r="C7">
        <v>1122</v>
      </c>
    </row>
    <row r="8" spans="1:3" ht="409.5" x14ac:dyDescent="0.25">
      <c r="A8" t="s">
        <v>199</v>
      </c>
      <c r="B8" s="1" t="s">
        <v>212</v>
      </c>
      <c r="C8">
        <v>770</v>
      </c>
    </row>
    <row r="9" spans="1:3" ht="409.5" x14ac:dyDescent="0.25">
      <c r="A9" t="s">
        <v>198</v>
      </c>
      <c r="B9" s="1" t="s">
        <v>166</v>
      </c>
      <c r="C9">
        <v>939</v>
      </c>
    </row>
    <row r="10" spans="1:3" ht="195" x14ac:dyDescent="0.25">
      <c r="A10" t="s">
        <v>198</v>
      </c>
      <c r="B10" s="1" t="s">
        <v>207</v>
      </c>
      <c r="C10">
        <v>397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E23" sqref="E23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7" x14ac:dyDescent="0.25">
      <c r="D2" t="s">
        <v>171</v>
      </c>
      <c r="E2">
        <f>A2</f>
        <v>0</v>
      </c>
      <c r="G2" t="s">
        <v>33</v>
      </c>
    </row>
    <row r="3" spans="1:7" x14ac:dyDescent="0.25">
      <c r="A3" t="s">
        <v>172</v>
      </c>
      <c r="B3" t="s">
        <v>16</v>
      </c>
      <c r="C3" t="s">
        <v>35</v>
      </c>
      <c r="D3" t="s">
        <v>140</v>
      </c>
      <c r="E3" t="s">
        <v>173</v>
      </c>
      <c r="F3" t="s">
        <v>201</v>
      </c>
      <c r="G3" t="s">
        <v>169</v>
      </c>
    </row>
    <row r="4" spans="1:7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7" x14ac:dyDescent="0.25">
      <c r="A5" t="s">
        <v>173</v>
      </c>
      <c r="B5" t="s">
        <v>16</v>
      </c>
      <c r="C5" t="s">
        <v>41</v>
      </c>
      <c r="E5" t="s">
        <v>172</v>
      </c>
      <c r="F5" t="s">
        <v>42</v>
      </c>
      <c r="G5" t="s">
        <v>170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115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174</v>
      </c>
      <c r="B8" t="s">
        <v>25</v>
      </c>
      <c r="C8" t="s">
        <v>50</v>
      </c>
      <c r="E8" t="str">
        <f t="shared" si="0"/>
        <v>BrandName</v>
      </c>
      <c r="F8" t="s">
        <v>179</v>
      </c>
      <c r="G8" t="s">
        <v>180</v>
      </c>
    </row>
    <row r="9" spans="1:7" x14ac:dyDescent="0.25">
      <c r="A9" t="s">
        <v>175</v>
      </c>
      <c r="B9" t="s">
        <v>25</v>
      </c>
      <c r="C9" t="s">
        <v>50</v>
      </c>
      <c r="E9" t="str">
        <f t="shared" si="0"/>
        <v>Prescriber</v>
      </c>
      <c r="F9" t="s">
        <v>179</v>
      </c>
      <c r="G9" t="s">
        <v>181</v>
      </c>
    </row>
    <row r="10" spans="1:7" x14ac:dyDescent="0.25">
      <c r="A10" t="s">
        <v>176</v>
      </c>
      <c r="B10" t="s">
        <v>25</v>
      </c>
      <c r="C10" t="s">
        <v>50</v>
      </c>
      <c r="E10" t="str">
        <f t="shared" si="0"/>
        <v>Dose</v>
      </c>
      <c r="F10" t="s">
        <v>179</v>
      </c>
      <c r="G10" t="s">
        <v>182</v>
      </c>
    </row>
    <row r="11" spans="1:7" x14ac:dyDescent="0.25">
      <c r="A11" t="s">
        <v>177</v>
      </c>
      <c r="B11" t="s">
        <v>25</v>
      </c>
      <c r="C11" t="s">
        <v>50</v>
      </c>
      <c r="E11" t="str">
        <f t="shared" si="0"/>
        <v>Instructions</v>
      </c>
      <c r="F11" t="s">
        <v>179</v>
      </c>
      <c r="G11" t="s">
        <v>183</v>
      </c>
    </row>
    <row r="12" spans="1:7" x14ac:dyDescent="0.25">
      <c r="A12" t="s">
        <v>178</v>
      </c>
      <c r="B12" t="s">
        <v>25</v>
      </c>
      <c r="C12" t="s">
        <v>50</v>
      </c>
      <c r="E12" t="str">
        <f t="shared" si="0"/>
        <v>Warnings</v>
      </c>
      <c r="F12" t="s">
        <v>179</v>
      </c>
      <c r="G12" t="s">
        <v>184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125</v>
      </c>
      <c r="G13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0"/>
  <sheetViews>
    <sheetView topLeftCell="A7" workbookViewId="0">
      <selection activeCell="B7" sqref="B7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208</v>
      </c>
    </row>
    <row r="2" spans="1:3" ht="180" x14ac:dyDescent="0.25">
      <c r="A2" t="s">
        <v>130</v>
      </c>
      <c r="B2" s="1" t="s">
        <v>196</v>
      </c>
    </row>
    <row r="3" spans="1:3" ht="30" x14ac:dyDescent="0.25">
      <c r="A3" t="s">
        <v>143</v>
      </c>
      <c r="B3" s="1" t="s">
        <v>197</v>
      </c>
    </row>
    <row r="5" spans="1:3" ht="345" x14ac:dyDescent="0.25">
      <c r="A5" t="s">
        <v>156</v>
      </c>
      <c r="B5" s="1" t="s">
        <v>185</v>
      </c>
    </row>
    <row r="6" spans="1:3" ht="409.5" x14ac:dyDescent="0.25">
      <c r="A6" t="s">
        <v>157</v>
      </c>
      <c r="B6" s="1" t="s">
        <v>186</v>
      </c>
      <c r="C6">
        <v>1096</v>
      </c>
    </row>
    <row r="7" spans="1:3" ht="409.5" x14ac:dyDescent="0.25">
      <c r="A7" t="s">
        <v>158</v>
      </c>
      <c r="B7" s="1" t="s">
        <v>220</v>
      </c>
      <c r="C7">
        <v>1222</v>
      </c>
    </row>
    <row r="8" spans="1:3" ht="409.5" x14ac:dyDescent="0.25">
      <c r="A8" t="s">
        <v>199</v>
      </c>
      <c r="B8" s="1" t="s">
        <v>213</v>
      </c>
      <c r="C8">
        <v>872</v>
      </c>
    </row>
    <row r="9" spans="1:3" ht="409.5" x14ac:dyDescent="0.25">
      <c r="A9" t="s">
        <v>198</v>
      </c>
      <c r="B9" s="1" t="s">
        <v>187</v>
      </c>
      <c r="C9">
        <v>1167</v>
      </c>
    </row>
    <row r="10" spans="1:3" ht="195" x14ac:dyDescent="0.25">
      <c r="A10" t="s">
        <v>198</v>
      </c>
      <c r="B10" s="1" t="s">
        <v>209</v>
      </c>
      <c r="C10">
        <v>437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2016-04-11T03:53:16Z</dcterms:modified>
</cp:coreProperties>
</file>