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JP\BiometrixSQL\"/>
    </mc:Choice>
  </mc:AlternateContent>
  <bookViews>
    <workbookView xWindow="1050" yWindow="0" windowWidth="16905" windowHeight="4260" tabRatio="599" activeTab="6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Medication" sheetId="14" r:id="rId10"/>
    <sheet name="MedicationOutput" sheetId="15" r:id="rId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11" i="11"/>
  <c r="E7" i="11"/>
  <c r="E6" i="11"/>
  <c r="E2" i="11"/>
  <c r="E7" i="9"/>
  <c r="E8" i="9"/>
  <c r="E9" i="9"/>
  <c r="E10" i="9"/>
  <c r="E11" i="9"/>
  <c r="E12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2" i="2"/>
</calcChain>
</file>

<file path=xl/sharedStrings.xml><?xml version="1.0" encoding="utf-8"?>
<sst xmlns="http://schemas.openxmlformats.org/spreadsheetml/2006/main" count="510" uniqueCount="225">
  <si>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</si>
  <si>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</si>
  <si>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</si>
  <si>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</si>
  <si>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</si>
  <si>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</si>
  <si>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</si>
  <si>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</si>
  <si>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</si>
  <si>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</si>
  <si>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</si>
  <si>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</si>
  <si>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</si>
  <si>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</si>
  <si>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</si>
  <si>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</si>
  <si>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</si>
  <si>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</si>
  <si>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</si>
  <si>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</si>
  <si>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</si>
  <si>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</si>
  <si>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</si>
  <si>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Column Name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</si>
  <si>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</si>
  <si>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</si>
  <si>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</si>
  <si>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</si>
  <si>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</si>
  <si>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</si>
  <si>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</si>
  <si>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</si>
  <si>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</si>
  <si>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</si>
  <si>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</si>
  <si>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</si>
  <si>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</si>
  <si>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</si>
  <si>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</si>
  <si>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</si>
  <si>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</si>
  <si>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</si>
  <si>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</si>
  <si>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</si>
  <si>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</si>
  <si>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</si>
  <si>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</si>
  <si>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</si>
  <si>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</si>
  <si>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VARCHAR(50)</t>
  </si>
  <si>
    <t>NULL</t>
  </si>
  <si>
    <t>varchar(50)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</si>
  <si>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</si>
  <si>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</si>
  <si>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</si>
  <si>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</si>
  <si>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</si>
  <si>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</si>
  <si>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</si>
  <si>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</si>
  <si>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</si>
  <si>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USER_NAME</t>
  </si>
  <si>
    <t>Local Table Create(Android Studio)</t>
  </si>
  <si>
    <t>Diet</t>
  </si>
  <si>
    <t>WebDietID</t>
  </si>
  <si>
    <t>varchar(40) Not Null</t>
  </si>
  <si>
    <t>int Not Null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</si>
  <si>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</si>
  <si>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</si>
  <si>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</si>
  <si>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</si>
  <si>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</si>
  <si>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</si>
  <si>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</si>
  <si>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</si>
  <si>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</si>
  <si>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</si>
  <si>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</si>
  <si>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</si>
  <si>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</si>
  <si>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</si>
  <si>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</si>
  <si>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</si>
  <si>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</si>
  <si>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</si>
  <si>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</si>
  <si>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</si>
  <si>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</si>
  <si>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</si>
  <si>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</si>
  <si>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</si>
  <si>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</si>
  <si>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</si>
  <si>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</si>
  <si>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</si>
  <si>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INTY</t>
  </si>
  <si>
    <t>NOTES</t>
  </si>
  <si>
    <t>Title</t>
  </si>
  <si>
    <t>Type</t>
  </si>
  <si>
    <t>Minutes</t>
  </si>
  <si>
    <t>Inty</t>
  </si>
  <si>
    <t>DateEx</t>
  </si>
  <si>
    <t>TimeEx</t>
  </si>
  <si>
    <t>VARCHAR(140)</t>
  </si>
  <si>
    <t>TINYINT</t>
  </si>
  <si>
    <t>varchar(140)</t>
  </si>
  <si>
    <t>tinyint</t>
  </si>
  <si>
    <t>date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</si>
  <si>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</si>
  <si>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</si>
  <si>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</si>
  <si>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</si>
  <si>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</si>
  <si>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</si>
  <si>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</si>
  <si>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Health</t>
  </si>
  <si>
    <t>VARCHAR(300)</t>
  </si>
  <si>
    <t>varchar(300)</t>
  </si>
  <si>
    <t>varchar(20)</t>
  </si>
  <si>
    <t>DURATION</t>
  </si>
  <si>
    <t>QUALITY</t>
  </si>
  <si>
    <t>HEALTH</t>
  </si>
  <si>
    <t>Local Strings(Android Studio)</t>
  </si>
  <si>
    <t>The local sleep ID is a unique identifier for each entry on the local database</t>
  </si>
  <si>
    <t>The web sleep ID is a unique identifier for each entry on the BIOMETRIX database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</si>
  <si>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</si>
  <si>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</si>
  <si>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</si>
  <si>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</si>
  <si>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</si>
  <si>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Table Name (Next line)</t>
  </si>
  <si>
    <t>Name of column array (next line)</t>
  </si>
  <si>
    <t>cols</t>
  </si>
  <si>
    <t>columns</t>
  </si>
  <si>
    <t>Local Columns(Android Studio)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</si>
  <si>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</si>
  <si>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</si>
  <si>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</si>
  <si>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</si>
  <si>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</si>
  <si>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</si>
  <si>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</si>
  <si>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</si>
  <si>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</si>
  <si>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</si>
  <si>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</si>
  <si>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NOT NULL_x000D_
	, [Quality] INT NULL_x000D_
	, [Notes] VARCHAR(300) NULL_x000D_
	, [Health] VARCHAR(20)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</si>
  <si>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</si>
  <si>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</si>
  <si>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</si>
  <si>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</si>
  <si>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VARCHAR(300), @Health VARCHAR(20)_x000D_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[Notes], [Health])_x000D_
Values_x000D_
(@UserID2, @LocalSleepID2, @Date, @Time, @Duration, @Quality2, @Notes, @Health)_x000D_
_x000D_
Select [LocalSleepID], [WebSleepID] From dbo.Sleep_x000D_
Where [UserID] = @UserID2 AND [LocalSleepID] = @LocalSleepID2_x000D_
GO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</si>
  <si>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"Notes";_x000D_
_x000D_
if ($operation == "Update")_x000D_
{_x000D_
	$cols["10"] = "WebMoodID";_x000D_
}_x000D_
break;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</si>
  <si>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</si>
  <si>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$prep_string = $prep_string . ", @Health = :Health";_x000D_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$cols["8"] = "Health";_x000D_
_x000D_
if ($operation == "Update")_x000D_
{_x000D_
	$cols["9"] = "WebSleepID";_x000D_
}_x000D_
break;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</si>
  <si>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</si>
  <si>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Insert Into dbo.Mood_x000D_
([UserID], [LocalMoodID], [Date], [Time], [Depression], [Elevated], [Irritable], [Anxiety], [Notes])_x000D_
Values_x000D_
(@UserID2, @LocalMoodID2, @Date, @Time, @Depression2, @Elevated2, @Irritable2, @Anxiety2, @Notes)_x000D_
_x000D_
Select [LocalMoodID], [WebMoodID] From dbo.Mood_x000D_
Where [UserID] = @UserID2 AND [LocalMoodID] = @LocalMoodID2_x000D_
GO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</si>
  <si>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</si>
  <si>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</si>
  <si>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</si>
  <si>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</si>
  <si>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</si>
  <si>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</si>
  <si>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</si>
  <si>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</si>
  <si>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</si>
  <si>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</si>
  <si>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</si>
  <si>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</si>
  <si>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</si>
  <si>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</si>
  <si>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</si>
  <si>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</si>
  <si>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</si>
  <si>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</si>
  <si>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</si>
  <si>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NOTE = "Notes";</t>
  </si>
  <si>
    <t>public static final String[] cols = {LOCAL_MOOD_ID, USER_NAME, WEB_MOOD_ID, DATE, _x000D_
TIME, DEP, ELEV, IRR, ANX, NOTE};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</si>
  <si>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</si>
  <si>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NOTE};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</si>
  <si>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"Notes";_x000D_
public static final String HEALTH = "Health";</t>
  </si>
  <si>
    <t>public static final String[] columns = {LOCAL_SLEEP_ID, USER_NAME, WEB_SLEEP_ID, DATE, _x000D_
TIME, DURATION, QUALITY, NOTES, HEALTH};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</si>
  <si>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</t>
  </si>
  <si>
    <t>public static final String[] columns = {LOCAL_MEDICATION_ID, USER_NAME, WEB_MEDICATION_ID, _x000D_
DATE, TIME, BRAND_NAME, PRESCRIBER, DOSE, INSTRUCTIONS, WARNINGS, NOTES};</t>
  </si>
  <si>
    <t>Insert/Update Procedure(PHP - Webserver)</t>
  </si>
  <si>
    <t>Delete Procedure(SQL-WebDatabase)</t>
  </si>
  <si>
    <t>integer primary key autoincrement</t>
  </si>
  <si>
    <t>return "CREATE TABLE " + TABLE_NAME + " ( " +_x000D_
LOCAL_DIET_ID + " integer primary key autoincrement, " +_x000D_
USER_NAME + " varchar(50) Not Null, " +_x000D_
WEB_DIET_ID + " int Null, " +_x000D_
DATE + " date Not Null, " +_x000D_
TYPE + " varchar(40) Not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varchar(255)" +");";</t>
  </si>
  <si>
    <t>return "CREATE TABLE " + TABLE_NAME + " ( " +_x000D_
LOCAL_SLEEP_ID + " integer primary key autoincrement, " +_x000D_
USER_NAME + " varchar(50) Not Null, " +_x000D_
WEB_SLEEP_ID + " int Null, " +_x000D_
DATE + " date, " +_x000D_
TIME + " time Not Null, " +_x000D_
DURATION + " time Not Null, " +_x000D_
QUALITY + " int Not Null, " +_x000D_
NOTES + " varchar(300), " +_x000D_
HEALTH + " varchar(20)" +");";</t>
  </si>
  <si>
    <t>return "CREATE TABLE " + TABLE_NAME + " ( " +_x000D_
LOCAL_MEDICATION_ID + " integer primary key autoincrement, " +_x000D_
USER_NAME + " varchar(50) Not Null, " +_x000D_
WEB_MEDICATION_ID + " int Null, " +_x000D_
DATE + " date,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varchar(300)" +");";</t>
  </si>
  <si>
    <t>return "CREATE TABLE " + TABLE_NAME + " ( " +_x000D_
LOCAL_MOOD_ID + " integer primary key autoincrement,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NOTE + " varchar(255)" +");";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</si>
  <si>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[Notes] = @Notes_x000D_
Where [WebMoodID] = @WebMoodID2 AND [UserID] = @UserID2_x000D_
Select @@RowCount as NumRows_x000D_
GO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</si>
  <si>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Select @@RowCount as NumRows_x000D_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</si>
  <si>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@Health VARCHAR(20),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@Notes, [Health] = @Health_x000D_
Where [WebSleepID] = @WebSleepID2 AND [UserID] = @UserID2_x000D_
Select @@RowCount as NumRows_x000D_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</si>
  <si>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Select @@RowCount as NumRows_x000D_
GO</t>
  </si>
  <si>
    <t>USE [Biometrix]_x000D_
GO_x000D_
if Object_ID('MoodDelete') is NOT NULL_x000D_
BEGIN_x000D_
DROP PROCEDURE MoodDelete_x000D_
END_x000D_
GO_x000D_
_x000D_
CREATE PROCEDURE MoodDelete @UserID VARCHAR(50), @WebMoodID VARCHAR(50)_x000D_
AS_x000D_
_x000D_
DECLARE @UserID2 INT;_x000D_
SET @UserID2 = TRY_CONVERT(INT, @UserID);_x000D_
IF @UserID = ''_x000D_
BEGIN_x000D_
	SET @UserID2 = NULL;_x000D_
END_x000D_
_x000D_
DECLARE @WebMoodID2 INT;_x000D_
SET @WebMoodID2 = TRY_CONVERT(INT, @WebMoodID);_x000D_
IF @WebMoodID = ''_x000D_
BEGIN_x000D_
	SET @WebMoodID2 = NULL;_x000D_
END_x000D_
_x000D_
Delete dbo.Mood_x000D_
WHERE [WebMoodID] = @WebMoodID2 AND [UserID] = @UserID2Select @@RowCount as NumRows_x000D_
GO</t>
  </si>
  <si>
    <t>case "Mood":_x000D_
$prep_string = "Exec MoodDelete";_x000D_
$prep_string = $prep_string . " @WebMoodID = :WebMoodID";_x000D_
$prep_string = $prep_string . ", @UserID = :UserID";_x000D_
_x000D_
$stmt_handle = $db_connection-&gt;Prepare($prep_string);_x000D_
_x000D_
$cols = array();_x000D_
$cols["1"] = "WebMoodID";_x000D_
$cols["2"] = "UserID";_x000D_
break;</t>
  </si>
  <si>
    <t>Delete Procedure(PHP - Webserver)</t>
  </si>
  <si>
    <t>USE [Biometrix]_x000D_
GO_x000D_
if Object_ID('DietDelete') is NOT NULL_x000D_
BEGIN_x000D_
DROP PROCEDURE DietDelete_x000D_
END_x000D_
GO_x000D_
_x000D_
CREATE PROCEDURE DietDelete @UserID VARCHAR(50), @WebDietID VARCHAR(50)_x000D_
AS_x000D_
_x000D_
DECLARE @UserID2 INT;_x000D_
SET @UserID2 = TRY_CONVERT(INT, @UserID);_x000D_
IF @UserID = ''_x000D_
BEGIN_x000D_
	SET @UserID2 = NULL;_x000D_
END_x000D_
_x000D_
DECLARE @WebDietID2 INT;_x000D_
SET @WebDietID2 = TRY_CONVERT(INT, @WebDietID);_x000D_
IF @WebDietID = ''_x000D_
BEGIN_x000D_
	SET @WebDietID2 = NULL;_x000D_
END_x000D_
_x000D_
Delete dbo.Diet_x000D_
WHERE [WebDietID] = @WebDietID2 AND [UserID] = @UserID2Select @@RowCount as NumRows_x000D_
GO</t>
  </si>
  <si>
    <t>case "Diet":_x000D_
$prep_string = "Exec DietDelete";_x000D_
$prep_string = $prep_string . " @WebDietID = :WebDietID";_x000D_
$prep_string = $prep_string . ", @UserID = :UserID";_x000D_
_x000D_
$stmt_handle = $db_connection-&gt;Prepare($prep_string);_x000D_
_x000D_
$cols = array();_x000D_
$cols["1"] = "WebDietID";_x000D_
$cols["2"] = "UserID";_x000D_
break;</t>
  </si>
  <si>
    <t>USE [Biometrix]_x000D_
GO_x000D_
if Object_ID('ExerciseDelete') is NOT NULL_x000D_
BEGIN_x000D_
DROP PROCEDURE ExerciseDelete_x000D_
END_x000D_
GO_x000D_
_x000D_
CREATE PROCEDURE ExerciseDelete @UserID VARCHAR(50), @WebExerciseID VARCHAR(50)_x000D_
AS_x000D_
_x000D_
DECLARE @UserID2 INT;_x000D_
SET @UserID2 = TRY_CONVERT(INT, @UserID);_x000D_
IF @UserID = ''_x000D_
BEGIN_x000D_
	SET @UserID2 = NULL;_x000D_
END_x000D_
_x000D_
DECLARE @WebExerciseID2 INT;_x000D_
SET @WebExerciseID2 = TRY_CONVERT(INT, @WebExerciseID);_x000D_
IF @WebExerciseID = ''_x000D_
BEGIN_x000D_
	SET @WebExerciseID2 = NULL;_x000D_
END_x000D_
_x000D_
Delete dbo.Exercise_x000D_
WHERE [WebExerciseID] = @WebExerciseID2 AND [UserID] = @UserID2Select @@RowCount as NumRows_x000D_
GO</t>
  </si>
  <si>
    <t>case "Exercise":_x000D_
$prep_string = "Exec ExerciseDelete";_x000D_
$prep_string = $prep_string . " @WebExerciseID = :WebExerciseID";_x000D_
$prep_string = $prep_string . ", @UserID = :UserID";_x000D_
_x000D_
$stmt_handle = $db_connection-&gt;Prepare($prep_string);_x000D_
_x000D_
$cols = array();_x000D_
$cols["1"] = "WebExerciseID";_x000D_
$cols["2"] = "UserID";_x000D_
break;</t>
  </si>
  <si>
    <t>USE [Biometrix]_x000D_
GO_x000D_
if Object_ID('SleepDelete') is NOT NULL_x000D_
BEGIN_x000D_
DROP PROCEDURE SleepDelete_x000D_
END_x000D_
GO_x000D_
_x000D_
CREATE PROCEDURE SleepDelete @UserID VARCHAR(50), @WebSleepID VARCHAR(50)_x000D_
AS_x000D_
_x000D_
DECLARE @UserID2 INT;_x000D_
SET @UserID2 = TRY_CONVERT(INT, @UserID);_x000D_
IF @UserID = ''_x000D_
BEGIN_x000D_
	SET @UserID2 = NULL;_x000D_
END_x000D_
_x000D_
DECLARE @WebSleepID2 INT;_x000D_
SET @WebSleepID2 = TRY_CONVERT(INT, @WebSleepID);_x000D_
IF @WebSleepID = ''_x000D_
BEGIN_x000D_
	SET @WebSleepID2 = NULL;_x000D_
END_x000D_
_x000D_
Delete dbo.Sleep_x000D_
WHERE [WebSleepID] = @WebSleepID2 AND [UserID] = @UserID2Select @@RowCount as NumRows_x000D_
GO</t>
  </si>
  <si>
    <t>case "Sleep":_x000D_
$prep_string = "Exec SleepDelete";_x000D_
$prep_string = $prep_string . " @WebSleepID = :WebSleepID";_x000D_
$prep_string = $prep_string . ", @UserID = :UserID";_x000D_
_x000D_
$stmt_handle = $db_connection-&gt;Prepare($prep_string);_x000D_
_x000D_
$cols = array();_x000D_
$cols["1"] = "WebSleepID";_x000D_
$cols["2"] = "UserID";_x000D_
break;</t>
  </si>
  <si>
    <t>USE [Biometrix]_x000D_
GO_x000D_
if Object_ID('MedicationDelete') is NOT NULL_x000D_
BEGIN_x000D_
DROP PROCEDURE MedicationDelete_x000D_
END_x000D_
GO_x000D_
_x000D_
CREATE PROCEDURE MedicationDelete @UserID VARCHAR(50), @WebMedicationID VARCHAR(50)_x000D_
AS_x000D_
_x000D_
DECLARE @UserID2 INT;_x000D_
SET @UserID2 = TRY_CONVERT(INT, @UserID);_x000D_
IF @UserID = ''_x000D_
BEGIN_x000D_
	SET @UserID2 = NULL;_x000D_
END_x000D_
_x000D_
DECLARE @WebMedicationID2 INT;_x000D_
SET @WebMedicationID2 = TRY_CONVERT(INT, @WebMedicationID);_x000D_
IF @WebMedicationID = ''_x000D_
BEGIN_x000D_
	SET @WebMedicationID2 = NULL;_x000D_
END_x000D_
_x000D_
Delete dbo.Medication_x000D_
WHERE [WebMedicationID] = @WebMedicationID2 AND [UserID] = @UserID2Select @@RowCount as NumRows_x000D_
GO</t>
  </si>
  <si>
    <t>case "Medication":_x000D_
$prep_string = "Exec MedicationDelete";_x000D_
$prep_string = $prep_string . " @WebMedicationID = :WebMedicationID";_x000D_
$prep_string = $prep_string . ", @UserID = :UserID";_x000D_
_x000D_
$stmt_handle = $db_connection-&gt;Prepare($prep_string);_x000D_
_x000D_
$cols = array();_x000D_
$cols["1"] = "WebMedicationID";_x000D_
$cols["2"] = "UserID";_x000D_
break;</t>
  </si>
  <si>
    <t>Pull Procedure(PHP - Webserver)</t>
  </si>
  <si>
    <t>case "Diet":_x000D_
$prep_string = "Select ";_x000D_
$prep_string = $prep_string . "WebDietID";_x000D_
$prep_string = $prep_string . ", UserID";_x000D_
$prep_string = $prep_string . ", LocalDietID";_x000D_
$prep_string = $prep_string . ", Date";_x000D_
$prep_string = $prep_string . ", FoodType";_x000D_
$prep_string = $prep_string . ", Meal";_x000D_
$prep_string = $prep_string . ", ServingSize";_x000D_
$prep_string = $prep_string . ", Calories";_x000D_
$prep_string = $prep_string . ", TotalFat";_x000D_
$prep_string = $prep_string . ", SaturatedFat";_x000D_
$prep_string = $prep_string . ", TransFat";_x000D_
$prep_string = $prep_string . ", Cholesterol";_x000D_
$prep_string = $prep_string . ", Sodium";_x000D_
$prep_string = $prep_string . ", TotalCarbs";_x000D_
$prep_string = $prep_string . ", DietaryFiber";_x000D_
$prep_string = $prep_string . ", Sugars";_x000D_
$prep_string = $prep_string . ", Protein";_x000D_
$prep_string = $prep_string . ", VitaminA";_x000D_
$prep_string = $prep_string . ", VitaminB";_x000D_
$prep_string = $prep_string . ", Calcium";_x000D_
$prep_string = $prep_string . ", Iron";_x000D_
$prep_string = $prep_string . ", Notes";_x000D_
$prep_string = $prep_string . " From Biometrix.dbo.Diet";_x000D_
$prep_string = $prep_string . " LEFT JOIN #TempID ON ID = WebDietID";_x000D_
$prep_string = $prep_string . " Where [UserId] = ? AND ID is null";_x000D_
_x000D_
$stmt_handle = $db_connection-&gt;Prepare($prep_string);_x000D_
_x000D_
$num_cols = 22;_x000D_
_x000D_
$cols = array();_x000D_
$cols[0] = "WebDietID";_x000D_
$cols[1] = "UserID";_x000D_
$cols[2] = "LocalDietID";_x000D_
$cols[3] = "Date";_x000D_
$cols[4] = "FoodType";_x000D_
$cols[5] = "Meal";_x000D_
$cols[6] = "ServingSize";_x000D_
$cols[7] = "Calories";_x000D_
$cols[8] = "TotalFat";_x000D_
$cols[9] = "SaturatedFat";_x000D_
$cols[10] = "TransFat";_x000D_
$cols[11] = "Cholesterol";_x000D_
$cols[12] = "Sodium";_x000D_
$cols[13] = "TotalCarbs";_x000D_
$cols[14] = "DietaryFiber";_x000D_
$cols[15] = "Sugars";_x000D_
$cols[16] = "Protein";_x000D_
$cols[17] = "VitaminA";_x000D_
$cols[18] = "VitaminB";_x000D_
$cols[19] = "Calcium";_x000D_
$cols[20] = "Iron";_x000D_
$cols[21] = "Notes";_x000D_
break;</t>
  </si>
  <si>
    <t>case "Mood":_x000D_
$prep_string = "Select ";_x000D_
$prep_string = $prep_string . "WebMoodID";_x000D_
$prep_string = $prep_string . ", UserID";_x000D_
$prep_string = $prep_string . ", LocalMoodID";_x000D_
$prep_string = $prep_string . ", Date";_x000D_
$prep_string = $prep_string . ", convert(varchar(5), Time, 114)";_x000D_
$prep_string = $prep_string . ", Depression";_x000D_
$prep_string = $prep_string . ", Elevated";_x000D_
$prep_string = $prep_string . ", Irritable";_x000D_
$prep_string = $prep_string . ", Anxiety";_x000D_
$prep_string = $prep_string . ", Notes";_x000D_
$prep_string = $prep_string . " From Biometrix.dbo.Mood";_x000D_
$prep_string = $prep_string . " LEFT JOIN #TempID ON ID = WebMoodID";_x000D_
$prep_string = $prep_string . " Where [UserId] = ? AND ID is null";_x000D_
_x000D_
$stmt_handle = $db_connection-&gt;Prepare($prep_string);_x000D_
_x000D_
$num_cols = 10;_x000D_
_x000D_
$cols = array();_x000D_
$cols[0] = "WebMoodID";_x000D_
$cols[1] = "UserID";_x000D_
$cols[2] = "LocalMoodID";_x000D_
$cols[3] = "Date";_x000D_
$cols[4] = "Time";_x000D_
$cols[5] = "Depression";_x000D_
$cols[6] = "Elevated";_x000D_
$cols[7] = "Irritable";_x000D_
$cols[8] = "Anxiety";_x000D_
$cols[9] = "Notes";_x000D_
break;</t>
  </si>
  <si>
    <t>case "Sleep":_x000D_
$prep_string = "Select ";_x000D_
$prep_string = $prep_string . "WebSleepID";_x000D_
$prep_string = $prep_string . ", UserID";_x000D_
$prep_string = $prep_string . ", LocalSleepID";_x000D_
$prep_string = $prep_string . ", Date";_x000D_
$prep_string = $prep_string . ", convert(varchar(5), Time, 114)";_x000D_
$prep_string = $prep_string . ", convert(varchar(5), Duration, 114)";_x000D_
$prep_string = $prep_string . ", Quality";_x000D_
$prep_string = $prep_string . ", Notes";_x000D_
$prep_string = $prep_string . ", Health";_x000D_
$prep_string = $prep_string . " From Biometrix.dbo.Sleep";_x000D_
$prep_string = $prep_string . " LEFT JOIN #TempID ON ID = WebSleepID";_x000D_
$prep_string = $prep_string . " Where [UserId] = ? AND ID is null";_x000D_
_x000D_
$stmt_handle = $db_connection-&gt;Prepare($prep_string);_x000D_
_x000D_
$num_cols = 9;_x000D_
_x000D_
$cols = array();_x000D_
$cols[0] = "WebSleepID";_x000D_
$cols[1] = "UserID";_x000D_
$cols[2] = "LocalSleepID";_x000D_
$cols[3] = "Date";_x000D_
$cols[4] = "Time";_x000D_
$cols[5] = "Duration";_x000D_
$cols[6] = "Quality";_x000D_
$cols[7] = "Notes";_x000D_
$cols[8] = "Health";_x000D_
break;</t>
  </si>
  <si>
    <t>case "Medication":_x000D_
$prep_string = "Select ";_x000D_
$prep_string = $prep_string . "WebMedicationID";_x000D_
$prep_string = $prep_string . ", UserID";_x000D_
$prep_string = $prep_string . ", LocalMedicationID";_x000D_
$prep_string = $prep_string . ", Date";_x000D_
$prep_string = $prep_string . ", convert(varchar(5), Time, 114)";_x000D_
$prep_string = $prep_string . ", BrandName";_x000D_
$prep_string = $prep_string . ", Prescriber";_x000D_
$prep_string = $prep_string . ", Dose";_x000D_
$prep_string = $prep_string . ", Instructions";_x000D_
$prep_string = $prep_string . ", Warnings";_x000D_
$prep_string = $prep_string . ", Notes";_x000D_
$prep_string = $prep_string . " From Biometrix.dbo.Medication";_x000D_
$prep_string = $prep_string . " LEFT JOIN #TempID ON ID = WebMedicationID";_x000D_
$prep_string = $prep_string . " Where [UserId] = ? AND ID is null";_x000D_
_x000D_
$stmt_handle = $db_connection-&gt;Prepare($prep_string);_x000D_
_x000D_
$num_cols = 11;_x000D_
_x000D_
$cols = array();_x000D_
$cols[0] = "WebMedicationID";_x000D_
$cols[1] = "UserID";_x000D_
$cols[2] = "LocalMedicationID";_x000D_
$cols[3] = "Date";_x000D_
$cols[4] = "Time";_x000D_
$cols[5] = "BrandName";_x000D_
$cols[6] = "Prescriber";_x000D_
$cols[7] = "Dose";_x000D_
$cols[8] = "Instructions";_x000D_
$cols[9] = "Warnings";_x000D_
$cols[10] = "Notes";_x000D_
break;</t>
  </si>
  <si>
    <t>Local Int Columns(Android Studio)</t>
  </si>
  <si>
    <t>public static final String[] intcols = {DEP, ELEV, IRR, ANX};</t>
  </si>
  <si>
    <t>public static final String[] intcols = {CALORIES, TOTALFAT, SATFAT, TRANSFAT, _x000D_
CHOLESTEROL, SODIUM, TOTALCARBS, FIBER, SUGARS, PROTEIN, VITAMINA, _x000D_
VITAMINB, CALCIUM, IRON};</t>
  </si>
  <si>
    <t>public static final String[] intcolumns = {};</t>
  </si>
  <si>
    <t>public static final String[] intcolumns = {QUALITY};</t>
  </si>
  <si>
    <t>return "CREATE TABLE " + TABLE_NAME + " ( " +_x000D_
LOCAL_EXERCISE_ID + " integer primary key autoincrement, " +_x000D_
USER_NAME + " varchar(50) Not Null, " +_x000D_
WEB_EXERCISE_ID + " int Null, " +_x000D_
TITLE + " varchar(255), " +_x000D_
TYPE + " varchar(140), " +_x000D_
MINUTES + " tinyint, " +_x000D_
INTY + " tinyint, " +_x000D_
NOTES + " varchar(255), " +_x000D_
DATE + " date, " +_x000D_
TIME + " varchar(50)" +");";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</si>
  <si>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INTY = "Inty";_x000D_
public static final String NOTES = "Notes";_x000D_
public static final String DATE = "DateEx";_x000D_
public static final String TIME = "TimeEx";</t>
  </si>
  <si>
    <t>public static final String[] columns = {LOCAL_EXERCISE_ID, USER_NAME, WEB_EXERCISE_ID, _x000D_
TITLE, TYPE, MINUTES, INTY, NOTES, DATE, TIME};</t>
  </si>
  <si>
    <t>public static final String[] intcolumns = {MINUTES, INTY};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</si>
  <si>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[Inty] TINYINT NULL_x000D_
	, [Notes] VARCHAR(255) NULL_x000D_
	, [DateEx] DATE NOT NULL_x000D_
	, [TimeEx] VARCHAR(50)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</si>
  <si>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@Inty VARCHAR(50), @Notes VARCHAR(255), @DateEx DATE, @TimeEx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[Inty], [Notes], [DateEx], [TimeEx])_x000D_
Values_x000D_
(@UserID2, @LocalExerciseID2, @Title, @Type, @Minutes2, @Inty2, @Notes, @DateEx, @TimeEx)_x000D_
_x000D_
Select [LocalExerciseID], [WebExerciseID] From dbo.Exercise_x000D_
Where [UserID] = @UserID2 AND [LocalExerciseID] = @LocalExerciseID2_x000D_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</si>
  <si>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@Inty VARCHAR(50), @Notes VARCHAR(255), @DateEx DATE, @TimeEx VARCHAR(50), _x000D_
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[Inty] = @Inty2, _x000D_
[Notes] = @Notes, [DateEx] = @DateEx, [TimeEx] = @TimeEx_x000D_
Where [WebExerciseID] = @WebExerciseID2 AND [UserID] = @UserID2_x000D_
Select @@RowCount as NumRows_x000D_
GO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</si>
  <si>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"Inty";_x000D_
$cols["7"] = "Notes";_x000D_
$cols["8"] = "DateEx";_x000D_
$cols["9"] = "TimeEx";_x000D_
_x000D_
if ($operation == "Update")_x000D_
{_x000D_
	$cols["10"] = "WebExerciseID";_x000D_
}_x000D_
break;</t>
  </si>
  <si>
    <t>case "Exercise":_x000D_
$prep_string = "Select ";_x000D_
$prep_string = $prep_string . "WebExerciseID";_x000D_
$prep_string = $prep_string . ", UserID";_x000D_
$prep_string = $prep_string . ", LocalExerciseID";_x000D_
$prep_string = $prep_string . ", Title";_x000D_
$prep_string = $prep_string . ", Type";_x000D_
$prep_string = $prep_string . ", Minutes";_x000D_
$prep_string = $prep_string . ", Inty";_x000D_
$prep_string = $prep_string . ", Notes";_x000D_
$prep_string = $prep_string . ", DateEx";_x000D_
$prep_string = $prep_string . ", TimeEx";_x000D_
$prep_string = $prep_string . " From Biometrix.dbo.Exercise";_x000D_
$prep_string = $prep_string . " LEFT JOIN #TempID ON ID = WebExerciseID";_x000D_
$prep_string = $prep_string . " Where [UserId] = ? AND ID is null";_x000D_
_x000D_
$stmt_handle = $db_connection-&gt;Prepare($prep_string);_x000D_
_x000D_
$num_cols = 10;_x000D_
_x000D_
$cols = array();_x000D_
$cols[0] = "WebExerciseID";_x000D_
$cols[1] = "UserID";_x000D_
$cols[2] = "LocalExerciseID";_x000D_
$cols[3] = "Title";_x000D_
$cols[4] = "Type";_x000D_
$cols[5] = "Minutes";_x000D_
$cols[6] = "Inty";_x000D_
$cols[7] = "Notes";_x000D_
$cols[8] = "DateEx";_x000D_
$cols[9] = "TimeEx";_x000D_
break;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</si>
</sst>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135</v>
      </c>
    </row>
    <row r="2" spans="1:1" x14ac:dyDescent="0.25">
      <c r="A2" t="s">
        <v>136</v>
      </c>
    </row>
    <row r="4" spans="1:1" x14ac:dyDescent="0.25">
      <c r="A4" t="s">
        <v>141</v>
      </c>
    </row>
    <row r="5" spans="1:1" x14ac:dyDescent="0.25">
      <c r="A5" t="s">
        <v>137</v>
      </c>
    </row>
    <row r="6" spans="1:1" x14ac:dyDescent="0.25">
      <c r="A6" t="s">
        <v>138</v>
      </c>
    </row>
    <row r="7" spans="1:1" x14ac:dyDescent="0.25">
      <c r="A7" t="s">
        <v>139</v>
      </c>
    </row>
    <row r="8" spans="1:1" x14ac:dyDescent="0.25">
      <c r="A8" t="s">
        <v>140</v>
      </c>
    </row>
    <row r="10" spans="1:1" x14ac:dyDescent="0.25">
      <c r="A10" t="s">
        <v>142</v>
      </c>
    </row>
    <row r="11" spans="1:1" x14ac:dyDescent="0.25">
      <c r="A11" t="s">
        <v>143</v>
      </c>
    </row>
    <row r="12" spans="1:1" x14ac:dyDescent="0.25">
      <c r="A12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workbookViewId="0">
      <selection activeCell="C39" sqref="C39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130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29</v>
      </c>
      <c r="E2">
        <f>A2</f>
        <v>0</v>
      </c>
      <c r="G2" t="s">
        <v>33</v>
      </c>
    </row>
    <row r="3" spans="1:8" x14ac:dyDescent="0.25">
      <c r="A3" t="s">
        <v>28</v>
      </c>
      <c r="B3" t="s">
        <v>16</v>
      </c>
      <c r="C3" t="s">
        <v>35</v>
      </c>
      <c r="D3" t="s">
        <v>131</v>
      </c>
      <c r="E3" t="s">
        <v>36</v>
      </c>
      <c r="F3" t="s">
        <v>186</v>
      </c>
      <c r="G3" t="s">
        <v>37</v>
      </c>
    </row>
    <row r="4" spans="1:8" x14ac:dyDescent="0.25">
      <c r="A4" t="s">
        <v>0</v>
      </c>
      <c r="B4" t="s">
        <v>16</v>
      </c>
      <c r="C4" t="s">
        <v>38</v>
      </c>
      <c r="D4" t="s">
        <v>132</v>
      </c>
      <c r="E4" t="s">
        <v>39</v>
      </c>
      <c r="F4" t="s">
        <v>40</v>
      </c>
      <c r="G4" t="s">
        <v>61</v>
      </c>
    </row>
    <row r="5" spans="1:8" x14ac:dyDescent="0.25">
      <c r="A5" t="s">
        <v>36</v>
      </c>
      <c r="B5" t="s">
        <v>16</v>
      </c>
      <c r="C5" t="s">
        <v>41</v>
      </c>
      <c r="E5" t="s">
        <v>28</v>
      </c>
      <c r="F5" t="s">
        <v>42</v>
      </c>
      <c r="G5" t="s">
        <v>43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48</v>
      </c>
      <c r="B8" t="s">
        <v>16</v>
      </c>
      <c r="C8" t="s">
        <v>50</v>
      </c>
      <c r="E8" t="str">
        <f t="shared" si="0"/>
        <v>Depression</v>
      </c>
      <c r="F8" t="s">
        <v>42</v>
      </c>
      <c r="G8" t="s">
        <v>52</v>
      </c>
    </row>
    <row r="9" spans="1:8" x14ac:dyDescent="0.25">
      <c r="A9" t="s">
        <v>53</v>
      </c>
      <c r="B9" t="s">
        <v>16</v>
      </c>
      <c r="C9" t="s">
        <v>50</v>
      </c>
      <c r="E9" t="str">
        <f t="shared" si="0"/>
        <v>Elevated</v>
      </c>
      <c r="F9" t="s">
        <v>42</v>
      </c>
      <c r="G9" t="s">
        <v>54</v>
      </c>
    </row>
    <row r="10" spans="1:8" x14ac:dyDescent="0.25">
      <c r="A10" t="s">
        <v>55</v>
      </c>
      <c r="B10" t="s">
        <v>16</v>
      </c>
      <c r="C10" t="s">
        <v>50</v>
      </c>
      <c r="E10" t="str">
        <f t="shared" si="0"/>
        <v>Irritable</v>
      </c>
      <c r="F10" t="s">
        <v>42</v>
      </c>
      <c r="G10" t="s">
        <v>56</v>
      </c>
    </row>
    <row r="11" spans="1:8" x14ac:dyDescent="0.25">
      <c r="A11" t="s">
        <v>57</v>
      </c>
      <c r="B11" t="s">
        <v>16</v>
      </c>
      <c r="C11" t="s">
        <v>50</v>
      </c>
      <c r="E11" t="str">
        <f t="shared" si="0"/>
        <v>Anxiety</v>
      </c>
      <c r="F11" t="s">
        <v>42</v>
      </c>
      <c r="G11" t="s">
        <v>58</v>
      </c>
    </row>
    <row r="12" spans="1:8" x14ac:dyDescent="0.25">
      <c r="A12" t="s">
        <v>24</v>
      </c>
      <c r="B12" t="s">
        <v>25</v>
      </c>
      <c r="C12" t="s">
        <v>50</v>
      </c>
      <c r="E12" t="str">
        <f t="shared" si="0"/>
        <v>Notes</v>
      </c>
      <c r="F12" t="s">
        <v>59</v>
      </c>
      <c r="G12" t="s">
        <v>60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workbookViewId="0">
      <selection activeCell="B4" sqref="B4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165" x14ac:dyDescent="0.25">
      <c r="A1" t="s">
        <v>62</v>
      </c>
      <c r="B1" s="1" t="s">
        <v>190</v>
      </c>
    </row>
    <row r="2" spans="1:3" ht="165" x14ac:dyDescent="0.25">
      <c r="A2" t="s">
        <v>122</v>
      </c>
      <c r="B2" s="1" t="s">
        <v>176</v>
      </c>
    </row>
    <row r="3" spans="1:3" ht="30" x14ac:dyDescent="0.25">
      <c r="A3" t="s">
        <v>134</v>
      </c>
      <c r="B3" s="1" t="s">
        <v>177</v>
      </c>
    </row>
    <row r="4" spans="1:3" x14ac:dyDescent="0.25">
      <c r="A4" t="s">
        <v>211</v>
      </c>
      <c r="B4" t="s">
        <v>212</v>
      </c>
    </row>
    <row r="5" spans="1:3" ht="330" x14ac:dyDescent="0.25">
      <c r="A5" t="s">
        <v>147</v>
      </c>
      <c r="B5" s="1" t="s">
        <v>155</v>
      </c>
    </row>
    <row r="6" spans="1:3" ht="409.5" x14ac:dyDescent="0.25">
      <c r="A6" t="s">
        <v>148</v>
      </c>
      <c r="B6" s="1" t="s">
        <v>156</v>
      </c>
      <c r="C6">
        <v>1470</v>
      </c>
    </row>
    <row r="7" spans="1:3" ht="409.5" x14ac:dyDescent="0.25">
      <c r="A7" t="s">
        <v>149</v>
      </c>
      <c r="B7" s="1" t="s">
        <v>191</v>
      </c>
      <c r="C7">
        <v>1581</v>
      </c>
    </row>
    <row r="8" spans="1:3" ht="409.5" x14ac:dyDescent="0.25">
      <c r="A8" t="s">
        <v>185</v>
      </c>
      <c r="B8" s="1" t="s">
        <v>195</v>
      </c>
      <c r="C8">
        <v>544</v>
      </c>
    </row>
    <row r="9" spans="1:3" ht="409.5" x14ac:dyDescent="0.25">
      <c r="A9" t="s">
        <v>184</v>
      </c>
      <c r="B9" s="1" t="s">
        <v>152</v>
      </c>
      <c r="C9">
        <v>1031</v>
      </c>
    </row>
    <row r="10" spans="1:3" ht="165" x14ac:dyDescent="0.25">
      <c r="A10" t="s">
        <v>197</v>
      </c>
      <c r="B10" s="1" t="s">
        <v>196</v>
      </c>
      <c r="C10">
        <v>296</v>
      </c>
    </row>
    <row r="11" spans="1:3" ht="409.5" x14ac:dyDescent="0.25">
      <c r="A11" t="s">
        <v>206</v>
      </c>
      <c r="B11" s="1" t="s">
        <v>208</v>
      </c>
      <c r="C11">
        <v>1042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workbookViewId="0">
      <selection activeCell="E26" sqref="E26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130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63</v>
      </c>
      <c r="E2">
        <f>A2</f>
        <v>0</v>
      </c>
      <c r="G2" t="s">
        <v>33</v>
      </c>
    </row>
    <row r="3" spans="1:8" x14ac:dyDescent="0.25">
      <c r="A3" t="s">
        <v>64</v>
      </c>
      <c r="B3" t="s">
        <v>16</v>
      </c>
      <c r="C3" t="s">
        <v>35</v>
      </c>
      <c r="D3" t="s">
        <v>131</v>
      </c>
      <c r="E3" t="s">
        <v>1</v>
      </c>
      <c r="F3" t="s">
        <v>186</v>
      </c>
      <c r="G3" t="s">
        <v>68</v>
      </c>
    </row>
    <row r="4" spans="1:8" x14ac:dyDescent="0.25">
      <c r="A4" t="s">
        <v>0</v>
      </c>
      <c r="B4" t="s">
        <v>16</v>
      </c>
      <c r="C4" t="s">
        <v>38</v>
      </c>
      <c r="D4" t="s">
        <v>132</v>
      </c>
      <c r="E4" t="s">
        <v>39</v>
      </c>
      <c r="F4" t="s">
        <v>40</v>
      </c>
      <c r="G4" t="s">
        <v>61</v>
      </c>
    </row>
    <row r="5" spans="1:8" x14ac:dyDescent="0.25">
      <c r="A5" t="s">
        <v>1</v>
      </c>
      <c r="B5" t="s">
        <v>16</v>
      </c>
      <c r="C5" t="s">
        <v>41</v>
      </c>
      <c r="E5" t="s">
        <v>64</v>
      </c>
      <c r="F5" t="s">
        <v>42</v>
      </c>
      <c r="G5" t="s">
        <v>69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24" si="0">A6</f>
        <v>Date</v>
      </c>
      <c r="F6" t="s">
        <v>44</v>
      </c>
      <c r="G6" t="s">
        <v>18</v>
      </c>
    </row>
    <row r="7" spans="1:8" x14ac:dyDescent="0.25">
      <c r="A7" s="1" t="s">
        <v>19</v>
      </c>
      <c r="B7" t="s">
        <v>20</v>
      </c>
      <c r="C7" t="s">
        <v>50</v>
      </c>
      <c r="E7" t="str">
        <f t="shared" si="0"/>
        <v>FoodType</v>
      </c>
      <c r="F7" t="s">
        <v>65</v>
      </c>
      <c r="G7" t="s">
        <v>70</v>
      </c>
    </row>
    <row r="8" spans="1:8" x14ac:dyDescent="0.25">
      <c r="A8" s="1" t="s">
        <v>21</v>
      </c>
      <c r="B8" t="s">
        <v>22</v>
      </c>
      <c r="C8" t="s">
        <v>50</v>
      </c>
      <c r="E8" t="str">
        <f t="shared" si="0"/>
        <v>Meal</v>
      </c>
      <c r="F8" t="s">
        <v>67</v>
      </c>
      <c r="G8" t="s">
        <v>71</v>
      </c>
    </row>
    <row r="9" spans="1:8" x14ac:dyDescent="0.25">
      <c r="A9" s="1" t="s">
        <v>26</v>
      </c>
      <c r="B9" t="s">
        <v>22</v>
      </c>
      <c r="C9" t="s">
        <v>50</v>
      </c>
      <c r="E9" t="str">
        <f t="shared" si="0"/>
        <v>ServingSize</v>
      </c>
      <c r="F9" t="s">
        <v>67</v>
      </c>
      <c r="G9" t="s">
        <v>80</v>
      </c>
    </row>
    <row r="10" spans="1:8" x14ac:dyDescent="0.25">
      <c r="A10" s="1" t="s">
        <v>2</v>
      </c>
      <c r="B10" t="s">
        <v>16</v>
      </c>
      <c r="C10" t="s">
        <v>50</v>
      </c>
      <c r="E10" t="str">
        <f t="shared" si="0"/>
        <v>Calories</v>
      </c>
      <c r="F10" t="s">
        <v>42</v>
      </c>
      <c r="G10" t="s">
        <v>72</v>
      </c>
    </row>
    <row r="11" spans="1:8" x14ac:dyDescent="0.25">
      <c r="A11" s="1" t="s">
        <v>3</v>
      </c>
      <c r="B11" t="s">
        <v>16</v>
      </c>
      <c r="C11" t="s">
        <v>50</v>
      </c>
      <c r="E11" t="str">
        <f t="shared" si="0"/>
        <v>TotalFat</v>
      </c>
      <c r="F11" t="s">
        <v>42</v>
      </c>
      <c r="G11" t="s">
        <v>81</v>
      </c>
    </row>
    <row r="12" spans="1:8" x14ac:dyDescent="0.25">
      <c r="A12" s="1" t="s">
        <v>4</v>
      </c>
      <c r="B12" t="s">
        <v>16</v>
      </c>
      <c r="C12" t="s">
        <v>50</v>
      </c>
      <c r="E12" t="str">
        <f t="shared" si="0"/>
        <v>SaturatedFat</v>
      </c>
      <c r="F12" t="s">
        <v>42</v>
      </c>
      <c r="G12" t="s">
        <v>86</v>
      </c>
    </row>
    <row r="13" spans="1:8" x14ac:dyDescent="0.25">
      <c r="A13" s="1" t="s">
        <v>5</v>
      </c>
      <c r="B13" t="s">
        <v>16</v>
      </c>
      <c r="C13" t="s">
        <v>50</v>
      </c>
      <c r="E13" t="str">
        <f t="shared" si="0"/>
        <v>TransFat</v>
      </c>
      <c r="F13" t="s">
        <v>42</v>
      </c>
      <c r="G13" t="s">
        <v>82</v>
      </c>
    </row>
    <row r="14" spans="1:8" x14ac:dyDescent="0.25">
      <c r="A14" s="1" t="s">
        <v>6</v>
      </c>
      <c r="B14" t="s">
        <v>16</v>
      </c>
      <c r="C14" t="s">
        <v>50</v>
      </c>
      <c r="E14" t="str">
        <f t="shared" si="0"/>
        <v>Cholesterol</v>
      </c>
      <c r="F14" t="s">
        <v>42</v>
      </c>
      <c r="G14" t="s">
        <v>73</v>
      </c>
    </row>
    <row r="15" spans="1:8" x14ac:dyDescent="0.25">
      <c r="A15" s="1" t="s">
        <v>7</v>
      </c>
      <c r="B15" t="s">
        <v>16</v>
      </c>
      <c r="C15" t="s">
        <v>50</v>
      </c>
      <c r="E15" t="str">
        <f t="shared" si="0"/>
        <v>Sodium</v>
      </c>
      <c r="F15" t="s">
        <v>42</v>
      </c>
      <c r="G15" t="s">
        <v>74</v>
      </c>
    </row>
    <row r="16" spans="1:8" x14ac:dyDescent="0.25">
      <c r="A16" s="1" t="s">
        <v>8</v>
      </c>
      <c r="B16" t="s">
        <v>16</v>
      </c>
      <c r="C16" t="s">
        <v>50</v>
      </c>
      <c r="E16" t="str">
        <f t="shared" si="0"/>
        <v>TotalCarbs</v>
      </c>
      <c r="F16" t="s">
        <v>42</v>
      </c>
      <c r="G16" t="s">
        <v>83</v>
      </c>
    </row>
    <row r="17" spans="1:7" x14ac:dyDescent="0.25">
      <c r="A17" s="1" t="s">
        <v>9</v>
      </c>
      <c r="B17" t="s">
        <v>16</v>
      </c>
      <c r="C17" t="s">
        <v>50</v>
      </c>
      <c r="E17" t="str">
        <f t="shared" si="0"/>
        <v>DietaryFiber</v>
      </c>
      <c r="F17" t="s">
        <v>42</v>
      </c>
      <c r="G17" t="s">
        <v>75</v>
      </c>
    </row>
    <row r="18" spans="1:7" x14ac:dyDescent="0.25">
      <c r="A18" s="1" t="s">
        <v>10</v>
      </c>
      <c r="B18" t="s">
        <v>16</v>
      </c>
      <c r="C18" t="s">
        <v>50</v>
      </c>
      <c r="E18" t="str">
        <f t="shared" si="0"/>
        <v>Sugars</v>
      </c>
      <c r="F18" t="s">
        <v>42</v>
      </c>
      <c r="G18" t="s">
        <v>76</v>
      </c>
    </row>
    <row r="19" spans="1:7" x14ac:dyDescent="0.25">
      <c r="A19" s="1" t="s">
        <v>11</v>
      </c>
      <c r="B19" t="s">
        <v>16</v>
      </c>
      <c r="C19" t="s">
        <v>50</v>
      </c>
      <c r="E19" t="str">
        <f t="shared" si="0"/>
        <v>Protein</v>
      </c>
      <c r="F19" t="s">
        <v>42</v>
      </c>
      <c r="G19" t="s">
        <v>77</v>
      </c>
    </row>
    <row r="20" spans="1:7" x14ac:dyDescent="0.25">
      <c r="A20" s="1" t="s">
        <v>12</v>
      </c>
      <c r="B20" t="s">
        <v>16</v>
      </c>
      <c r="C20" t="s">
        <v>50</v>
      </c>
      <c r="E20" t="str">
        <f t="shared" si="0"/>
        <v>VitaminA</v>
      </c>
      <c r="F20" t="s">
        <v>42</v>
      </c>
      <c r="G20" t="s">
        <v>84</v>
      </c>
    </row>
    <row r="21" spans="1:7" x14ac:dyDescent="0.25">
      <c r="A21" s="1" t="s">
        <v>13</v>
      </c>
      <c r="B21" t="s">
        <v>16</v>
      </c>
      <c r="C21" t="s">
        <v>50</v>
      </c>
      <c r="E21" t="str">
        <f t="shared" si="0"/>
        <v>VitaminB</v>
      </c>
      <c r="F21" t="s">
        <v>42</v>
      </c>
      <c r="G21" t="s">
        <v>85</v>
      </c>
    </row>
    <row r="22" spans="1:7" x14ac:dyDescent="0.25">
      <c r="A22" s="1" t="s">
        <v>14</v>
      </c>
      <c r="B22" t="s">
        <v>16</v>
      </c>
      <c r="C22" t="s">
        <v>50</v>
      </c>
      <c r="E22" t="str">
        <f t="shared" si="0"/>
        <v>Calcium</v>
      </c>
      <c r="F22" t="s">
        <v>42</v>
      </c>
      <c r="G22" t="s">
        <v>78</v>
      </c>
    </row>
    <row r="23" spans="1:7" x14ac:dyDescent="0.25">
      <c r="A23" s="1" t="s">
        <v>15</v>
      </c>
      <c r="B23" t="s">
        <v>16</v>
      </c>
      <c r="C23" t="s">
        <v>50</v>
      </c>
      <c r="E23" t="str">
        <f t="shared" si="0"/>
        <v>Iron</v>
      </c>
      <c r="F23" t="s">
        <v>42</v>
      </c>
      <c r="G23" t="s">
        <v>79</v>
      </c>
    </row>
    <row r="24" spans="1:7" x14ac:dyDescent="0.25">
      <c r="A24" t="s">
        <v>24</v>
      </c>
      <c r="B24" t="s">
        <v>25</v>
      </c>
      <c r="C24" t="s">
        <v>50</v>
      </c>
      <c r="E24" t="str">
        <f t="shared" si="0"/>
        <v>Notes</v>
      </c>
      <c r="F24" t="s">
        <v>59</v>
      </c>
      <c r="G24" t="s">
        <v>60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"/>
  <sheetViews>
    <sheetView topLeftCell="A4" workbookViewId="0">
      <selection activeCell="B4" sqref="B4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45" x14ac:dyDescent="0.25">
      <c r="A1" t="s">
        <v>62</v>
      </c>
      <c r="B1" s="1" t="s">
        <v>187</v>
      </c>
    </row>
    <row r="2" spans="1:3" ht="345" x14ac:dyDescent="0.25">
      <c r="A2" t="s">
        <v>122</v>
      </c>
      <c r="B2" s="1" t="s">
        <v>178</v>
      </c>
    </row>
    <row r="3" spans="1:3" ht="45" x14ac:dyDescent="0.25">
      <c r="A3" t="s">
        <v>134</v>
      </c>
      <c r="B3" s="1" t="s">
        <v>179</v>
      </c>
    </row>
    <row r="4" spans="1:3" ht="45" x14ac:dyDescent="0.25">
      <c r="A4" t="s">
        <v>211</v>
      </c>
      <c r="B4" s="1" t="s">
        <v>213</v>
      </c>
    </row>
    <row r="5" spans="1:3" ht="409.5" x14ac:dyDescent="0.25">
      <c r="A5" t="s">
        <v>147</v>
      </c>
      <c r="B5" s="1" t="s">
        <v>145</v>
      </c>
    </row>
    <row r="6" spans="1:3" ht="409.5" x14ac:dyDescent="0.25">
      <c r="A6" t="s">
        <v>148</v>
      </c>
      <c r="B6" s="1" t="s">
        <v>150</v>
      </c>
      <c r="C6">
        <v>3368</v>
      </c>
    </row>
    <row r="7" spans="1:3" ht="409.5" x14ac:dyDescent="0.25">
      <c r="A7" t="s">
        <v>149</v>
      </c>
      <c r="B7" s="1" t="s">
        <v>192</v>
      </c>
      <c r="C7">
        <v>3491</v>
      </c>
    </row>
    <row r="8" spans="1:3" ht="409.5" x14ac:dyDescent="0.25">
      <c r="A8" t="s">
        <v>185</v>
      </c>
      <c r="B8" s="1" t="s">
        <v>198</v>
      </c>
      <c r="C8">
        <v>544</v>
      </c>
    </row>
    <row r="9" spans="1:3" ht="409.5" x14ac:dyDescent="0.25">
      <c r="A9" t="s">
        <v>184</v>
      </c>
      <c r="B9" s="1" t="s">
        <v>153</v>
      </c>
      <c r="C9">
        <v>2063</v>
      </c>
    </row>
    <row r="10" spans="1:3" ht="165" x14ac:dyDescent="0.25">
      <c r="A10" t="s">
        <v>197</v>
      </c>
      <c r="B10" s="1" t="s">
        <v>199</v>
      </c>
      <c r="C10">
        <v>296</v>
      </c>
    </row>
    <row r="11" spans="1:3" ht="409.5" x14ac:dyDescent="0.25">
      <c r="A11" t="s">
        <v>206</v>
      </c>
      <c r="B11" s="1" t="s">
        <v>207</v>
      </c>
      <c r="C11">
        <v>1864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2"/>
  <sheetViews>
    <sheetView workbookViewId="0">
      <selection activeCell="D24" sqref="D24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130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88</v>
      </c>
      <c r="E2">
        <f>A2</f>
        <v>0</v>
      </c>
      <c r="G2" t="s">
        <v>33</v>
      </c>
    </row>
    <row r="3" spans="1:8" x14ac:dyDescent="0.25">
      <c r="A3" t="s">
        <v>91</v>
      </c>
      <c r="B3" t="s">
        <v>16</v>
      </c>
      <c r="C3" t="s">
        <v>35</v>
      </c>
      <c r="D3" t="s">
        <v>131</v>
      </c>
      <c r="E3" t="s">
        <v>92</v>
      </c>
      <c r="F3" t="s">
        <v>186</v>
      </c>
      <c r="G3" t="s">
        <v>89</v>
      </c>
      <c r="H3" s="2" t="s">
        <v>125</v>
      </c>
    </row>
    <row r="4" spans="1:8" x14ac:dyDescent="0.25">
      <c r="A4" t="s">
        <v>0</v>
      </c>
      <c r="B4" t="s">
        <v>16</v>
      </c>
      <c r="C4" t="s">
        <v>38</v>
      </c>
      <c r="D4" t="s">
        <v>133</v>
      </c>
      <c r="E4" t="s">
        <v>39</v>
      </c>
      <c r="F4" t="s">
        <v>40</v>
      </c>
      <c r="G4" t="s">
        <v>61</v>
      </c>
      <c r="H4" s="2" t="s">
        <v>126</v>
      </c>
    </row>
    <row r="5" spans="1:8" x14ac:dyDescent="0.25">
      <c r="A5" t="s">
        <v>92</v>
      </c>
      <c r="B5" t="s">
        <v>16</v>
      </c>
      <c r="C5" t="s">
        <v>41</v>
      </c>
      <c r="E5" t="s">
        <v>91</v>
      </c>
      <c r="F5" t="s">
        <v>42</v>
      </c>
      <c r="G5" t="s">
        <v>90</v>
      </c>
    </row>
    <row r="6" spans="1:8" x14ac:dyDescent="0.25">
      <c r="A6" t="s">
        <v>97</v>
      </c>
      <c r="B6" t="s">
        <v>25</v>
      </c>
      <c r="C6" t="s">
        <v>50</v>
      </c>
      <c r="E6" t="str">
        <f>A6</f>
        <v>Title</v>
      </c>
      <c r="F6" t="s">
        <v>59</v>
      </c>
      <c r="G6" t="s">
        <v>93</v>
      </c>
      <c r="H6" s="2" t="s">
        <v>127</v>
      </c>
    </row>
    <row r="7" spans="1:8" x14ac:dyDescent="0.25">
      <c r="A7" t="s">
        <v>98</v>
      </c>
      <c r="B7" t="s">
        <v>103</v>
      </c>
      <c r="C7" t="s">
        <v>50</v>
      </c>
      <c r="E7" t="str">
        <f t="shared" ref="E7:E12" si="0">A7</f>
        <v>Type</v>
      </c>
      <c r="F7" t="s">
        <v>105</v>
      </c>
      <c r="G7" t="s">
        <v>70</v>
      </c>
      <c r="H7" s="2" t="s">
        <v>128</v>
      </c>
    </row>
    <row r="8" spans="1:8" x14ac:dyDescent="0.25">
      <c r="A8" t="s">
        <v>99</v>
      </c>
      <c r="B8" t="s">
        <v>104</v>
      </c>
      <c r="C8" t="s">
        <v>50</v>
      </c>
      <c r="E8" t="str">
        <f t="shared" si="0"/>
        <v>Minutes</v>
      </c>
      <c r="F8" t="s">
        <v>106</v>
      </c>
      <c r="G8" t="s">
        <v>94</v>
      </c>
      <c r="H8" s="2" t="s">
        <v>129</v>
      </c>
    </row>
    <row r="9" spans="1:8" x14ac:dyDescent="0.25">
      <c r="A9" t="s">
        <v>100</v>
      </c>
      <c r="B9" t="s">
        <v>104</v>
      </c>
      <c r="C9" t="s">
        <v>50</v>
      </c>
      <c r="E9" t="str">
        <f t="shared" si="0"/>
        <v>Inty</v>
      </c>
      <c r="F9" t="s">
        <v>106</v>
      </c>
      <c r="G9" t="s">
        <v>95</v>
      </c>
    </row>
    <row r="10" spans="1:8" x14ac:dyDescent="0.25">
      <c r="A10" t="s">
        <v>24</v>
      </c>
      <c r="B10" t="s">
        <v>25</v>
      </c>
      <c r="C10" t="s">
        <v>50</v>
      </c>
      <c r="E10" t="str">
        <f t="shared" si="0"/>
        <v>Notes</v>
      </c>
      <c r="F10" t="s">
        <v>59</v>
      </c>
      <c r="G10" t="s">
        <v>96</v>
      </c>
    </row>
    <row r="11" spans="1:8" x14ac:dyDescent="0.25">
      <c r="A11" t="s">
        <v>101</v>
      </c>
      <c r="B11" t="s">
        <v>18</v>
      </c>
      <c r="C11" t="s">
        <v>41</v>
      </c>
      <c r="E11" t="str">
        <f t="shared" si="0"/>
        <v>DateEx</v>
      </c>
      <c r="F11" t="s">
        <v>107</v>
      </c>
      <c r="G11" t="s">
        <v>18</v>
      </c>
    </row>
    <row r="12" spans="1:8" x14ac:dyDescent="0.25">
      <c r="A12" t="s">
        <v>102</v>
      </c>
      <c r="B12" t="s">
        <v>49</v>
      </c>
      <c r="C12" t="s">
        <v>41</v>
      </c>
      <c r="E12" t="str">
        <f t="shared" si="0"/>
        <v>TimeEx</v>
      </c>
      <c r="F12" t="s">
        <v>51</v>
      </c>
      <c r="G12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1"/>
  <sheetViews>
    <sheetView tabSelected="1" workbookViewId="0">
      <selection activeCell="B5" sqref="B5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165" x14ac:dyDescent="0.25">
      <c r="A1" t="s">
        <v>62</v>
      </c>
      <c r="B1" s="1" t="s">
        <v>216</v>
      </c>
    </row>
    <row r="2" spans="1:3" ht="180" x14ac:dyDescent="0.25">
      <c r="A2" t="s">
        <v>122</v>
      </c>
      <c r="B2" s="1" t="s">
        <v>217</v>
      </c>
    </row>
    <row r="3" spans="1:3" ht="30" x14ac:dyDescent="0.25">
      <c r="A3" t="s">
        <v>134</v>
      </c>
      <c r="B3" s="1" t="s">
        <v>218</v>
      </c>
    </row>
    <row r="4" spans="1:3" x14ac:dyDescent="0.25">
      <c r="A4" t="s">
        <v>211</v>
      </c>
      <c r="B4" t="s">
        <v>219</v>
      </c>
    </row>
    <row r="5" spans="1:3" ht="330" x14ac:dyDescent="0.25">
      <c r="A5" t="s">
        <v>147</v>
      </c>
      <c r="B5" s="1" t="s">
        <v>220</v>
      </c>
    </row>
    <row r="6" spans="1:3" ht="409.5" x14ac:dyDescent="0.25">
      <c r="A6" t="s">
        <v>148</v>
      </c>
      <c r="B6" s="1" t="s">
        <v>221</v>
      </c>
      <c r="C6">
        <v>1234</v>
      </c>
    </row>
    <row r="7" spans="1:3" ht="409.5" x14ac:dyDescent="0.25">
      <c r="A7" t="s">
        <v>149</v>
      </c>
      <c r="B7" s="1" t="s">
        <v>222</v>
      </c>
      <c r="C7">
        <v>1359</v>
      </c>
    </row>
    <row r="8" spans="1:3" ht="409.5" x14ac:dyDescent="0.25">
      <c r="A8" t="s">
        <v>185</v>
      </c>
      <c r="B8" s="1" t="s">
        <v>200</v>
      </c>
      <c r="C8">
        <v>592</v>
      </c>
    </row>
    <row r="9" spans="1:3" ht="409.5" x14ac:dyDescent="0.25">
      <c r="A9" t="s">
        <v>184</v>
      </c>
      <c r="B9" s="1" t="s">
        <v>223</v>
      </c>
      <c r="C9">
        <v>1033</v>
      </c>
    </row>
    <row r="10" spans="1:3" ht="165" x14ac:dyDescent="0.25">
      <c r="A10" t="s">
        <v>197</v>
      </c>
      <c r="B10" s="1" t="s">
        <v>201</v>
      </c>
      <c r="C10">
        <v>316</v>
      </c>
    </row>
    <row r="11" spans="1:3" ht="409.5" x14ac:dyDescent="0.25">
      <c r="A11" t="s">
        <v>206</v>
      </c>
      <c r="B11" s="1" t="s">
        <v>224</v>
      </c>
      <c r="C11">
        <v>1024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F39" sqref="F39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130</v>
      </c>
      <c r="E1" t="s">
        <v>30</v>
      </c>
      <c r="F1" t="s">
        <v>31</v>
      </c>
      <c r="G1" t="s">
        <v>32</v>
      </c>
    </row>
    <row r="2" spans="1:8" x14ac:dyDescent="0.25">
      <c r="D2" t="s">
        <v>108</v>
      </c>
      <c r="E2">
        <f>A2</f>
        <v>0</v>
      </c>
      <c r="G2" t="s">
        <v>33</v>
      </c>
    </row>
    <row r="3" spans="1:8" x14ac:dyDescent="0.25">
      <c r="A3" t="s">
        <v>109</v>
      </c>
      <c r="B3" t="s">
        <v>16</v>
      </c>
      <c r="C3" t="s">
        <v>35</v>
      </c>
      <c r="D3" t="s">
        <v>131</v>
      </c>
      <c r="E3" t="s">
        <v>110</v>
      </c>
      <c r="F3" t="s">
        <v>186</v>
      </c>
      <c r="G3" t="s">
        <v>111</v>
      </c>
      <c r="H3" s="2" t="s">
        <v>123</v>
      </c>
    </row>
    <row r="4" spans="1:8" x14ac:dyDescent="0.25">
      <c r="A4" t="s">
        <v>0</v>
      </c>
      <c r="B4" t="s">
        <v>16</v>
      </c>
      <c r="C4" t="s">
        <v>38</v>
      </c>
      <c r="D4" t="s">
        <v>133</v>
      </c>
      <c r="E4" t="s">
        <v>39</v>
      </c>
      <c r="F4" t="s">
        <v>40</v>
      </c>
      <c r="G4" t="s">
        <v>61</v>
      </c>
    </row>
    <row r="5" spans="1:8" x14ac:dyDescent="0.25">
      <c r="A5" t="s">
        <v>110</v>
      </c>
      <c r="B5" t="s">
        <v>16</v>
      </c>
      <c r="C5" t="s">
        <v>41</v>
      </c>
      <c r="E5" t="s">
        <v>109</v>
      </c>
      <c r="F5" t="s">
        <v>42</v>
      </c>
      <c r="G5" t="s">
        <v>112</v>
      </c>
      <c r="H5" s="2" t="s">
        <v>124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1" si="0">A6</f>
        <v>Date</v>
      </c>
      <c r="F6" t="s">
        <v>107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113</v>
      </c>
      <c r="B8" t="s">
        <v>46</v>
      </c>
      <c r="C8" t="s">
        <v>41</v>
      </c>
      <c r="E8" t="str">
        <f t="shared" si="0"/>
        <v>Duration</v>
      </c>
      <c r="F8" t="s">
        <v>47</v>
      </c>
      <c r="G8" t="s">
        <v>119</v>
      </c>
    </row>
    <row r="9" spans="1:8" x14ac:dyDescent="0.25">
      <c r="A9" t="s">
        <v>114</v>
      </c>
      <c r="B9" t="s">
        <v>16</v>
      </c>
      <c r="C9" t="s">
        <v>50</v>
      </c>
      <c r="E9" t="str">
        <f t="shared" si="0"/>
        <v>Quality</v>
      </c>
      <c r="F9" t="s">
        <v>66</v>
      </c>
      <c r="G9" t="s">
        <v>120</v>
      </c>
    </row>
    <row r="10" spans="1:8" x14ac:dyDescent="0.25">
      <c r="A10" t="s">
        <v>24</v>
      </c>
      <c r="B10" t="s">
        <v>116</v>
      </c>
      <c r="C10" t="s">
        <v>50</v>
      </c>
      <c r="E10" t="str">
        <f t="shared" si="0"/>
        <v>Notes</v>
      </c>
      <c r="F10" t="s">
        <v>117</v>
      </c>
      <c r="G10" t="s">
        <v>96</v>
      </c>
    </row>
    <row r="11" spans="1:8" x14ac:dyDescent="0.25">
      <c r="A11" t="s">
        <v>115</v>
      </c>
      <c r="B11" t="s">
        <v>22</v>
      </c>
      <c r="C11" t="s">
        <v>50</v>
      </c>
      <c r="E11" t="str">
        <f t="shared" si="0"/>
        <v>Health</v>
      </c>
      <c r="F11" t="s">
        <v>118</v>
      </c>
      <c r="G11" t="s">
        <v>121</v>
      </c>
    </row>
    <row r="12" spans="1:8" x14ac:dyDescent="0.25">
      <c r="H1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1"/>
  <sheetViews>
    <sheetView workbookViewId="0">
      <selection activeCell="B4" sqref="B4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50" x14ac:dyDescent="0.25">
      <c r="A1" t="s">
        <v>62</v>
      </c>
      <c r="B1" s="1" t="s">
        <v>188</v>
      </c>
    </row>
    <row r="2" spans="1:3" ht="180" x14ac:dyDescent="0.25">
      <c r="A2" t="s">
        <v>122</v>
      </c>
      <c r="B2" s="1" t="s">
        <v>180</v>
      </c>
    </row>
    <row r="3" spans="1:3" ht="45.75" customHeight="1" x14ac:dyDescent="0.25">
      <c r="A3" t="s">
        <v>134</v>
      </c>
      <c r="B3" s="1" t="s">
        <v>181</v>
      </c>
    </row>
    <row r="4" spans="1:3" x14ac:dyDescent="0.25">
      <c r="A4" t="s">
        <v>211</v>
      </c>
      <c r="B4" t="s">
        <v>215</v>
      </c>
    </row>
    <row r="5" spans="1:3" ht="315" x14ac:dyDescent="0.25">
      <c r="A5" t="s">
        <v>147</v>
      </c>
      <c r="B5" s="1" t="s">
        <v>146</v>
      </c>
    </row>
    <row r="6" spans="1:3" ht="409.5" x14ac:dyDescent="0.25">
      <c r="A6" t="s">
        <v>148</v>
      </c>
      <c r="B6" s="1" t="s">
        <v>151</v>
      </c>
      <c r="C6">
        <v>1009</v>
      </c>
    </row>
    <row r="7" spans="1:3" ht="409.5" x14ac:dyDescent="0.25">
      <c r="A7" t="s">
        <v>149</v>
      </c>
      <c r="B7" s="1" t="s">
        <v>193</v>
      </c>
      <c r="C7">
        <v>1122</v>
      </c>
    </row>
    <row r="8" spans="1:3" ht="409.5" x14ac:dyDescent="0.25">
      <c r="A8" t="s">
        <v>185</v>
      </c>
      <c r="B8" s="1" t="s">
        <v>202</v>
      </c>
      <c r="C8">
        <v>556</v>
      </c>
    </row>
    <row r="9" spans="1:3" ht="409.5" x14ac:dyDescent="0.25">
      <c r="A9" t="s">
        <v>184</v>
      </c>
      <c r="B9" s="1" t="s">
        <v>154</v>
      </c>
      <c r="C9">
        <v>939</v>
      </c>
    </row>
    <row r="10" spans="1:3" ht="165" x14ac:dyDescent="0.25">
      <c r="A10" t="s">
        <v>197</v>
      </c>
      <c r="B10" s="1" t="s">
        <v>203</v>
      </c>
      <c r="C10">
        <v>301</v>
      </c>
    </row>
    <row r="11" spans="1:3" ht="409.5" x14ac:dyDescent="0.25">
      <c r="A11" t="s">
        <v>206</v>
      </c>
      <c r="B11" s="1" t="s">
        <v>209</v>
      </c>
      <c r="C11">
        <v>995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F39" sqref="F39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" bestFit="1" customWidth="1"/>
    <col min="7" max="7" width="16.5703125" bestFit="1" customWidth="1"/>
  </cols>
  <sheetData>
    <row r="1" spans="1:7" x14ac:dyDescent="0.25">
      <c r="A1" t="s">
        <v>23</v>
      </c>
      <c r="B1" t="s">
        <v>27</v>
      </c>
      <c r="C1" t="s">
        <v>34</v>
      </c>
      <c r="D1" t="s">
        <v>130</v>
      </c>
      <c r="E1" t="s">
        <v>30</v>
      </c>
      <c r="F1" t="s">
        <v>31</v>
      </c>
      <c r="G1" t="s">
        <v>32</v>
      </c>
    </row>
    <row r="2" spans="1:7" x14ac:dyDescent="0.25">
      <c r="D2" t="s">
        <v>159</v>
      </c>
      <c r="E2">
        <f>A2</f>
        <v>0</v>
      </c>
      <c r="G2" t="s">
        <v>33</v>
      </c>
    </row>
    <row r="3" spans="1:7" x14ac:dyDescent="0.25">
      <c r="A3" t="s">
        <v>160</v>
      </c>
      <c r="B3" t="s">
        <v>16</v>
      </c>
      <c r="C3" t="s">
        <v>35</v>
      </c>
      <c r="D3" t="s">
        <v>131</v>
      </c>
      <c r="E3" t="s">
        <v>161</v>
      </c>
      <c r="F3" t="s">
        <v>186</v>
      </c>
      <c r="G3" t="s">
        <v>157</v>
      </c>
    </row>
    <row r="4" spans="1:7" x14ac:dyDescent="0.25">
      <c r="A4" t="s">
        <v>0</v>
      </c>
      <c r="B4" t="s">
        <v>16</v>
      </c>
      <c r="C4" t="s">
        <v>38</v>
      </c>
      <c r="D4" t="s">
        <v>133</v>
      </c>
      <c r="E4" t="s">
        <v>39</v>
      </c>
      <c r="F4" t="s">
        <v>40</v>
      </c>
      <c r="G4" t="s">
        <v>61</v>
      </c>
    </row>
    <row r="5" spans="1:7" x14ac:dyDescent="0.25">
      <c r="A5" t="s">
        <v>161</v>
      </c>
      <c r="B5" t="s">
        <v>16</v>
      </c>
      <c r="C5" t="s">
        <v>41</v>
      </c>
      <c r="E5" t="s">
        <v>160</v>
      </c>
      <c r="F5" t="s">
        <v>42</v>
      </c>
      <c r="G5" t="s">
        <v>158</v>
      </c>
    </row>
    <row r="6" spans="1:7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107</v>
      </c>
      <c r="G6" t="s">
        <v>18</v>
      </c>
    </row>
    <row r="7" spans="1:7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7" x14ac:dyDescent="0.25">
      <c r="A8" t="s">
        <v>162</v>
      </c>
      <c r="B8" t="s">
        <v>25</v>
      </c>
      <c r="C8" t="s">
        <v>50</v>
      </c>
      <c r="E8" t="str">
        <f t="shared" si="0"/>
        <v>BrandName</v>
      </c>
      <c r="F8" t="s">
        <v>167</v>
      </c>
      <c r="G8" t="s">
        <v>168</v>
      </c>
    </row>
    <row r="9" spans="1:7" x14ac:dyDescent="0.25">
      <c r="A9" t="s">
        <v>163</v>
      </c>
      <c r="B9" t="s">
        <v>25</v>
      </c>
      <c r="C9" t="s">
        <v>50</v>
      </c>
      <c r="E9" t="str">
        <f t="shared" si="0"/>
        <v>Prescriber</v>
      </c>
      <c r="F9" t="s">
        <v>167</v>
      </c>
      <c r="G9" t="s">
        <v>169</v>
      </c>
    </row>
    <row r="10" spans="1:7" x14ac:dyDescent="0.25">
      <c r="A10" t="s">
        <v>164</v>
      </c>
      <c r="B10" t="s">
        <v>25</v>
      </c>
      <c r="C10" t="s">
        <v>50</v>
      </c>
      <c r="E10" t="str">
        <f t="shared" si="0"/>
        <v>Dose</v>
      </c>
      <c r="F10" t="s">
        <v>167</v>
      </c>
      <c r="G10" t="s">
        <v>170</v>
      </c>
    </row>
    <row r="11" spans="1:7" x14ac:dyDescent="0.25">
      <c r="A11" t="s">
        <v>165</v>
      </c>
      <c r="B11" t="s">
        <v>25</v>
      </c>
      <c r="C11" t="s">
        <v>50</v>
      </c>
      <c r="E11" t="str">
        <f t="shared" si="0"/>
        <v>Instructions</v>
      </c>
      <c r="F11" t="s">
        <v>167</v>
      </c>
      <c r="G11" t="s">
        <v>171</v>
      </c>
    </row>
    <row r="12" spans="1:7" x14ac:dyDescent="0.25">
      <c r="A12" t="s">
        <v>166</v>
      </c>
      <c r="B12" t="s">
        <v>25</v>
      </c>
      <c r="C12" t="s">
        <v>50</v>
      </c>
      <c r="E12" t="str">
        <f t="shared" si="0"/>
        <v>Warnings</v>
      </c>
      <c r="F12" t="s">
        <v>167</v>
      </c>
      <c r="G12" t="s">
        <v>172</v>
      </c>
    </row>
    <row r="13" spans="1:7" x14ac:dyDescent="0.25">
      <c r="A13" t="s">
        <v>24</v>
      </c>
      <c r="B13" t="s">
        <v>25</v>
      </c>
      <c r="C13" t="s">
        <v>50</v>
      </c>
      <c r="E13" t="str">
        <f t="shared" ref="E13" si="1">A13</f>
        <v>Notes</v>
      </c>
      <c r="F13" t="s">
        <v>117</v>
      </c>
      <c r="G13" t="s">
        <v>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workbookViewId="0">
      <selection activeCell="B4" sqref="B4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80" x14ac:dyDescent="0.25">
      <c r="A1" t="s">
        <v>62</v>
      </c>
      <c r="B1" s="1" t="s">
        <v>189</v>
      </c>
    </row>
    <row r="2" spans="1:3" ht="180" x14ac:dyDescent="0.25">
      <c r="A2" t="s">
        <v>122</v>
      </c>
      <c r="B2" s="1" t="s">
        <v>182</v>
      </c>
    </row>
    <row r="3" spans="1:3" ht="30" x14ac:dyDescent="0.25">
      <c r="A3" t="s">
        <v>134</v>
      </c>
      <c r="B3" s="1" t="s">
        <v>183</v>
      </c>
    </row>
    <row r="4" spans="1:3" x14ac:dyDescent="0.25">
      <c r="A4" t="s">
        <v>211</v>
      </c>
      <c r="B4" t="s">
        <v>214</v>
      </c>
    </row>
    <row r="5" spans="1:3" ht="345" x14ac:dyDescent="0.25">
      <c r="A5" t="s">
        <v>147</v>
      </c>
      <c r="B5" s="1" t="s">
        <v>173</v>
      </c>
    </row>
    <row r="6" spans="1:3" ht="409.5" x14ac:dyDescent="0.25">
      <c r="A6" t="s">
        <v>148</v>
      </c>
      <c r="B6" s="1" t="s">
        <v>174</v>
      </c>
      <c r="C6">
        <v>1096</v>
      </c>
    </row>
    <row r="7" spans="1:3" ht="409.5" x14ac:dyDescent="0.25">
      <c r="A7" t="s">
        <v>149</v>
      </c>
      <c r="B7" s="1" t="s">
        <v>194</v>
      </c>
      <c r="C7">
        <v>1222</v>
      </c>
    </row>
    <row r="8" spans="1:3" ht="409.5" x14ac:dyDescent="0.25">
      <c r="A8" t="s">
        <v>185</v>
      </c>
      <c r="B8" s="1" t="s">
        <v>204</v>
      </c>
      <c r="C8">
        <v>616</v>
      </c>
    </row>
    <row r="9" spans="1:3" ht="409.5" x14ac:dyDescent="0.25">
      <c r="A9" t="s">
        <v>184</v>
      </c>
      <c r="B9" s="1" t="s">
        <v>175</v>
      </c>
      <c r="C9">
        <v>1167</v>
      </c>
    </row>
    <row r="10" spans="1:3" ht="165" x14ac:dyDescent="0.25">
      <c r="A10" t="s">
        <v>197</v>
      </c>
      <c r="B10" s="1" t="s">
        <v>205</v>
      </c>
      <c r="C10">
        <v>326</v>
      </c>
    </row>
    <row r="11" spans="1:3" ht="409.5" x14ac:dyDescent="0.25">
      <c r="A11" t="s">
        <v>206</v>
      </c>
      <c r="B11" s="1" t="s">
        <v>210</v>
      </c>
      <c r="C11">
        <v>1156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Medication</vt:lpstr>
      <vt:lpstr>MedicationOutput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tannalynn</cp:lastModifiedBy>
  <dcterms:created xsi:type="dcterms:W3CDTF">2016-03-07T07:02:10Z</dcterms:created>
  <dcterms:modified xsi:type="dcterms:W3CDTF">2016-05-04T03:02:18Z</dcterms:modified>
</cp:coreProperties>
</file>