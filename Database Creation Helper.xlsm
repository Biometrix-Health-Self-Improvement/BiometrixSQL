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0" yWindow="0" windowWidth="16905" windowHeight="4260" tabRatio="599" activeTab="9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Output" sheetId="15" r:id="rId10"/>
    <sheet name="Medication" sheetId="14" r:id="rId11"/>
    <sheet name="Diet-Deprecated" sheetId="1" r:id="rId1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11" i="11"/>
  <c r="E7" i="11"/>
  <c r="E6" i="11"/>
  <c r="E2" i="11"/>
  <c r="E7" i="9"/>
  <c r="E8" i="9"/>
  <c r="E9" i="9"/>
  <c r="E10" i="9"/>
  <c r="E11" i="9"/>
  <c r="E12" i="9"/>
  <c r="E13" i="9"/>
  <c r="E14" i="9"/>
  <c r="E15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4" i="1"/>
  <c r="A4" i="1"/>
</calcChain>
</file>

<file path=xl/sharedStrings.xml><?xml version="1.0" encoding="utf-8"?>
<sst xmlns="http://schemas.openxmlformats.org/spreadsheetml/2006/main" count="552" uniqueCount="220">
  <si>
    <t>DECLARE @&lt;param&gt;2 INT;
Set @&lt;param&gt;2 = TRY_CONVERT(INT, @&lt;param&gt;);
IF @&lt;param&gt; = ''
BEGIN
    Set @&lt;param&gt;2 = NULL;
END</t>
  </si>
  <si>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</si>
  <si>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</si>
  <si>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</si>
  <si>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</si>
  <si>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</si>
  <si>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</si>
  <si>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</si>
  <si>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</si>
  <si>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</si>
  <si>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</si>
  <si>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</si>
  <si>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</si>
  <si>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</si>
  <si>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</si>
  <si>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</si>
  <si>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</si>
  <si>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</si>
  <si>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</si>
  <si>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</si>
  <si>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</si>
  <si>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</si>
  <si>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</si>
  <si>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</si>
  <si>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$cols = array();</t>
  </si>
  <si>
    <t>$cols["&lt;rownum&gt;"] = "&lt;colname&gt;";</t>
  </si>
  <si>
    <t>Columns in webserver</t>
  </si>
  <si>
    <t>Column #</t>
  </si>
  <si>
    <t>Datatype</t>
  </si>
  <si>
    <t>Column Name</t>
  </si>
  <si>
    <t>Conversion String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</si>
  <si>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</si>
  <si>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</si>
  <si>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</si>
  <si>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</si>
  <si>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</si>
  <si>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</si>
  <si>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</si>
  <si>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</si>
  <si>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</si>
  <si>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</si>
  <si>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</si>
  <si>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</si>
  <si>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</si>
  <si>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integer primary key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</si>
  <si>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</si>
  <si>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</si>
  <si>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</si>
  <si>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</si>
  <si>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</si>
  <si>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</si>
  <si>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</si>
  <si>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</si>
  <si>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</si>
  <si>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</si>
  <si>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</si>
  <si>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</si>
  <si>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VARCHAR(50)</t>
  </si>
  <si>
    <t>NULL</t>
  </si>
  <si>
    <t>varchar(50)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</si>
  <si>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</si>
  <si>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</si>
  <si>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</si>
  <si>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</si>
  <si>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</si>
  <si>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</si>
  <si>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</si>
  <si>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</si>
  <si>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</si>
  <si>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Updated</t>
  </si>
  <si>
    <t>int default 0</t>
  </si>
  <si>
    <t>UPDATED</t>
  </si>
  <si>
    <t>USER_NAME</t>
  </si>
  <si>
    <t>Local Table Create(Android Studio)</t>
  </si>
  <si>
    <t>Diet</t>
  </si>
  <si>
    <t>WebDietID</t>
  </si>
  <si>
    <t>varchar(40) Not Null</t>
  </si>
  <si>
    <t>int Not Null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</si>
  <si>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</si>
  <si>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</si>
  <si>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</si>
  <si>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</si>
  <si>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</si>
  <si>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</si>
  <si>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</si>
  <si>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</si>
  <si>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</si>
  <si>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</si>
  <si>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</si>
  <si>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</si>
  <si>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</si>
  <si>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</si>
  <si>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</si>
  <si>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</si>
  <si>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</si>
  <si>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</si>
  <si>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</si>
  <si>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</si>
  <si>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</si>
  <si>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return "CREATE TABLE " + TABLE_NAME + " ( " +_x000D_
LOCAL_DIET_ID + " integer primary key, " +_x000D_
USER_NAME + " varchar(50) Not Null, " +_x000D_
WEB_DIET_ID + " int Null, " +_x000D_
DATE + " date Not Null, " +_x000D_
TYPE + " varchar(40) Not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varchar(255), " +_x000D_
UPDATED + " int default 0" +");";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</si>
  <si>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</si>
  <si>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</si>
  <si>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</si>
  <si>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</si>
  <si>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</si>
  <si>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</si>
  <si>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</si>
  <si>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REPS</t>
  </si>
  <si>
    <t>LAPS</t>
  </si>
  <si>
    <t>WEIGHT</t>
  </si>
  <si>
    <t>INTY</t>
  </si>
  <si>
    <t>NOTES</t>
  </si>
  <si>
    <t>Title</t>
  </si>
  <si>
    <t>Type</t>
  </si>
  <si>
    <t>Minutes</t>
  </si>
  <si>
    <t>Reps</t>
  </si>
  <si>
    <t>Laps</t>
  </si>
  <si>
    <t>Weight</t>
  </si>
  <si>
    <t>Inty</t>
  </si>
  <si>
    <t>DateEx</t>
  </si>
  <si>
    <t>TimeEx</t>
  </si>
  <si>
    <t>VARCHAR(140)</t>
  </si>
  <si>
    <t>TINYINT</t>
  </si>
  <si>
    <t>SMALLINT</t>
  </si>
  <si>
    <t>varchar(140)</t>
  </si>
  <si>
    <t>tinyint</t>
  </si>
  <si>
    <t>smallint</t>
  </si>
  <si>
    <t>date</t>
  </si>
  <si>
    <t>return "CREATE TABLE " + TABLE_NAME + " ( " +_x000D_
LOCAL_EXERCISE_ID + " integer primary key, " +_x000D_
USER_NAME + " varchar(50) Not Null, " +_x000D_
WEB_EXERCISE_ID + " int Null, " +_x000D_
TITLE + " varchar(255), " +_x000D_
TYPE + " varchar(140), " +_x000D_
MINUTES + " tinyint, " +_x000D_
REPS + " tinyint, " +_x000D_
LAPS + " tinyint, " +_x000D_
WEIGHT + " smallint, " +_x000D_
INTY + " tinyint, " +_x000D_
NOTES + " varchar(255), " +_x000D_
DATE + " date, " +_x000D_
TIME + " varchar(50), " +_x000D_
UPDATED + " int default 0" +");";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</si>
  <si>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</si>
  <si>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</si>
  <si>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</si>
  <si>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</si>
  <si>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</si>
  <si>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</si>
  <si>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</si>
  <si>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Health</t>
  </si>
  <si>
    <t>VARCHAR(300)</t>
  </si>
  <si>
    <t>varchar(300)</t>
  </si>
  <si>
    <t>varchar(20)</t>
  </si>
  <si>
    <t>DURATION</t>
  </si>
  <si>
    <t>QUALITY</t>
  </si>
  <si>
    <t>HEALTH</t>
  </si>
  <si>
    <t>return "CREATE TABLE " + TABLE_NAME + " ( " +_x000D_
LOCAL_SLEEP_ID + " integer primary key, " +_x000D_
USER_NAME + " varchar(50) Not Null, " +_x000D_
WEB_SLEEP_ID + " int Null, " +_x000D_
DATE + " date, " +_x000D_
TIME + " time Not Null, " +_x000D_
DURATION + " time Not Null, " +_x000D_
QUALITY + " int Not Null, " +_x000D_
NOTES + " varchar(300), " +_x000D_
HEALTH + " varchar(20), " +_x000D_
UPDATED + " int default 0" +");";</t>
  </si>
  <si>
    <t>Local Strings(Android Studio)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</si>
  <si>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"Notes";_x000D_
public static final String UPDATED = "Updated";</t>
  </si>
  <si>
    <t>The local sleep ID is a unique identifier for each entry on the local database</t>
  </si>
  <si>
    <t>The web sleep ID is a unique identifier for each entry on the BIOMETRIX database</t>
  </si>
  <si>
    <t>Updated = Has the field changed from what the webserver has? This has to be an int, so 0 =false 1 =true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</si>
  <si>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"Notes";_x000D_
public static final String UPDATED = "Updated";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</si>
  <si>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</si>
  <si>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</si>
  <si>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</si>
  <si>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</si>
  <si>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</si>
  <si>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Reps or laps, data significance determined by module mode WHICH IS NOT IMPLEMENTED YET</t>
  </si>
  <si>
    <t>Table Name (Next line)</t>
  </si>
  <si>
    <t>Name of column array (next line)</t>
  </si>
  <si>
    <t>cols</t>
  </si>
  <si>
    <t>columns</t>
  </si>
  <si>
    <t>Local Columns(Android Studio)</t>
  </si>
  <si>
    <t>public static final String[] cols = {LOCAL_MOOD_ID, USER_NAME, WEB_MOOD_ID, DATE, _x000D_
TIME, DEP, ELEV, IRR, ANX, NOTE, UPDATED};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</si>
  <si>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NOTE, UPDATED};</t>
  </si>
  <si>
    <t>public static final String[] columns = {LOCAL_EXERCISE_ID, USER_NAME, WEB_EXERCISE_ID, _x000D_
TITLE, TYPE, MINUTES, REPS, LAPS, WEIGHT, INTY, NOTES, DATE, TIME, UPDATED};</t>
  </si>
  <si>
    <t>public static final String[] columns = {LOCAL_SLEEP_ID, USER_NAME, WEB_SLEEP_ID, DATE, _x000D_
TIME, DURATION, QUALITY, NOTES, HEALTH, UPDATED};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</si>
  <si>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</si>
  <si>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</si>
  <si>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</si>
  <si>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</si>
  <si>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</si>
  <si>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</si>
  <si>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</si>
  <si>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</si>
  <si>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</si>
  <si>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</si>
  <si>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</si>
  <si>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NOT NULL_x000D_
	, [Quality] INT NULL_x000D_
	, [Notes] VARCHAR(300) NULL_x000D_
	, [Health] VARCHAR(20)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</si>
  <si>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</si>
  <si>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</si>
  <si>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</si>
  <si>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</si>
  <si>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_x000D_
GO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</si>
  <si>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VARCHAR(300), @Health VARCHAR(20)_x000D_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[Notes], [Health])_x000D_
Values_x000D_
(@UserID2, @LocalSleepID2, @Date, @Time, @Duration, @Quality2, @Notes, @Health)_x000D_
_x000D_
Select [LocalSleepID], [WebSleepID] From dbo.Sleep_x000D_
Where [UserID] = @UserID2 AND [LocalSleepID] = @LocalSleepID2_x000D_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</si>
  <si>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@Health VARCHAR(20),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@Notes, [Health] = @Health_x000D_
Where [WebSleepID] = @WebSleepID2 AND [UserID] = @UserID2_x000D_
_x000D_
GO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</si>
  <si>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[Reps] TINYINT NULL_x000D_
	, [Laps] TINYINT NULL_x000D_
	, [Weight] SMALLINT NULL_x000D_
	, [Inty] TINYINT NULL_x000D_
	, [Notes] VARCHAR(255) NULL_x000D_
	, [DateEx] DATE NOT NULL_x000D_
	, [TimeEx] VARCHAR(50)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</si>
  <si>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@Reps VARCHAR(50), @Laps VARCHAR(50), @Weight VARCHAR(50), _x000D_
@Inty VARCHAR(50), @Notes VARCHAR(255), @DateEx DATE, @TimeEx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[Reps], [Laps], [Weight], [Inty], [Notes], [DateEx], _x000D_
[TimeEx])_x000D_
Values_x000D_
(@UserID2, @LocalExerciseID2, @Title, @Type, @Minutes2, @Reps2, @Laps2, @Weight2, @Inty2, @Notes, @DateEx, _x000D_
@TimeEx)_x000D_
_x000D_
Select [LocalExerciseID], [WebExerciseID] From dbo.Exercise_x000D_
Where [UserID] = @UserID2 AND [LocalExerciseID] = @LocalExerciseID2_x000D_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</si>
  <si>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@Reps VARCHAR(50), @Laps VARCHAR(50), @Weight VARCHAR(50), _x000D_
@Inty VARCHAR(50), @Notes VARCHAR(255), @DateEx DATE, @TimeEx VARCHAR(50), 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[Reps] = @Reps2, _x000D_
[Laps] = @Laps2, [Weight] = @Weight2, [Inty] = @Inty2, [Notes] = @Notes, [DateEx] = @DateEx, [TimeEx] = @TimeEx_x000D_
Where [WebExerciseID] = @WebExerciseID2 AND [UserID] = @UserID2_x000D_
_x000D_
GO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</si>
  <si>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@Reps = :Reps";_x000D_
$prep_string = $prep_string . ", @Laps = :Laps";_x000D_
$prep_string = $prep_string . ", @Weight = :Weight";_x000D_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"Reps";_x000D_
$cols["7"] = "Laps";_x000D_
$cols["8"] = "Weight";_x000D_
$cols["9"] = "Inty";_x000D_
$cols["10"] = "Notes";_x000D_
$cols["11"] = "DateEx";_x000D_
$cols["12"] = "TimeEx";_x000D_
_x000D_
if ($operation == "Update")_x000D_
{_x000D_
	$cols["13"] = "WebExerciseID";_x000D_
}_x000D_
break;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</si>
  <si>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</si>
  <si>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</si>
  <si>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$prep_string = $prep_string . ", @Health = :Health";_x000D_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$cols["8"] = "Health";_x000D_
_x000D_
if ($operation == "Update")_x000D_
{_x000D_
	$cols["9"] = "WebSleepID";_x000D_
}_x000D_
break;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</si>
  <si>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REPS = "Reps";//Reps or laps, data significance determined by module mode WHICH IS NOT IMPLEMENTED YET_x000D_
public static final String LAPS = "Laps";_x000D_
public static final String WEIGHT = "Weight";_x000D_
public static final String INTY = "Inty";_x000D_
public static final String NOTES = "Notes";_x000D_
public static final String DATE = "DateEx";_x000D_
public static final String TIME = "TimeEx";_x000D_
public static final String UPDATED = "Updated";</t>
  </si>
  <si>
    <t>return "CREATE TABLE " + TABLE_NAME + " ( " +_x000D_
LOCAL_MOOD_ID + " integer primary key,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NOTE + " varchar(255), " +_x000D_
UPDATED + " int default 0" +");";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</si>
  <si>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</si>
  <si>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Insert Into dbo.Mood_x000D_
([UserID], [LocalMoodID], [Date], [Time], [Depression], [Elevated], [Irritable], [Anxiety], [Notes])_x000D_
Values_x000D_
(@UserID2, @LocalMoodID2, @Date, @Time, @Depression2, @Elevated2, @Irritable2, @Anxiety2, @Notes)_x000D_
_x000D_
Select [LocalMoodID], [WebMoodID] From dbo.Mood_x000D_
Where [UserID] = @UserID2 AND [LocalMoodID] = @LocalMoodID2_x000D_
GO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</si>
  <si>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[Notes] = @Notes_x000D_
Where [WebMoodID] = @WebMoodID2 AND [UserID] = @UserID2_x000D_
_x000D_
GO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</si>
  <si>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"Notes";_x000D_
public static final String HEALTH = "Health";_x000D_
public static final String UPDATED = "Updated";//Updated = Has the field changed from what the webserver has? This has to be an int, so 0 =false 1 =true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</si>
  <si>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</si>
  <si>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</si>
  <si>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</si>
  <si>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</si>
  <si>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</si>
  <si>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</si>
  <si>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</si>
  <si>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</si>
  <si>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</si>
  <si>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</si>
  <si>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</si>
  <si>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</si>
  <si>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</si>
  <si>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</si>
  <si>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</si>
  <si>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</si>
  <si>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return "CREATE TABLE " + TABLE_NAME + " ( " +_x000D_
LOCAL_MEDICATION_ID + " integer primary key, " +_x000D_
USER_NAME + " varchar(50) Not Null, " +_x000D_
WEB_MEDICATION_ID + " int Null, " +_x000D_
DATE + " date,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varchar(300), " +_x000D_
UPDATED + " int default 0" +");";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</si>
  <si>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"Notes";_x000D_
public static final String UPDATED = "Updated";</t>
  </si>
  <si>
    <t>public static final String[] columns = {LOCAL_MEDICATION_ID, USER_NAME, WEB_MEDICATION_ID, _x000D_
DATE, TIME, BRAND_NAME, PRESCRIBER, DOSE, INSTRUCTIONS, WARNINGS, NOTES, UPDATED};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</si>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</sst>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165</v>
      </c>
    </row>
    <row r="2" spans="1:1" x14ac:dyDescent="0.25">
      <c r="A2" t="s">
        <v>166</v>
      </c>
    </row>
    <row r="4" spans="1:1" x14ac:dyDescent="0.25">
      <c r="A4" t="s">
        <v>171</v>
      </c>
    </row>
    <row r="5" spans="1:1" x14ac:dyDescent="0.25">
      <c r="A5" t="s">
        <v>167</v>
      </c>
    </row>
    <row r="6" spans="1:1" x14ac:dyDescent="0.25">
      <c r="A6" t="s">
        <v>168</v>
      </c>
    </row>
    <row r="7" spans="1:1" x14ac:dyDescent="0.25">
      <c r="A7" t="s">
        <v>169</v>
      </c>
    </row>
    <row r="8" spans="1:1" x14ac:dyDescent="0.25">
      <c r="A8" t="s">
        <v>170</v>
      </c>
    </row>
    <row r="10" spans="1:1" x14ac:dyDescent="0.25">
      <c r="A10" t="s">
        <v>172</v>
      </c>
    </row>
    <row r="11" spans="1:1" x14ac:dyDescent="0.25">
      <c r="A11" t="s">
        <v>173</v>
      </c>
    </row>
    <row r="12" spans="1:1" x14ac:dyDescent="0.25">
      <c r="A12" t="s">
        <v>174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D15" sqref="D15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29</v>
      </c>
      <c r="B1" t="s">
        <v>34</v>
      </c>
      <c r="C1" t="s">
        <v>41</v>
      </c>
      <c r="D1" t="s">
        <v>156</v>
      </c>
      <c r="E1" t="s">
        <v>37</v>
      </c>
      <c r="F1" t="s">
        <v>38</v>
      </c>
      <c r="G1" t="s">
        <v>39</v>
      </c>
      <c r="H1" t="s">
        <v>98</v>
      </c>
    </row>
    <row r="2" spans="1:8" x14ac:dyDescent="0.25">
      <c r="D2" t="s">
        <v>36</v>
      </c>
      <c r="E2">
        <f>A2</f>
        <v>0</v>
      </c>
      <c r="G2" t="s">
        <v>40</v>
      </c>
    </row>
    <row r="3" spans="1:8" x14ac:dyDescent="0.25">
      <c r="A3" t="s">
        <v>35</v>
      </c>
      <c r="B3" t="s">
        <v>17</v>
      </c>
      <c r="C3" t="s">
        <v>42</v>
      </c>
      <c r="D3" t="s">
        <v>157</v>
      </c>
      <c r="E3" t="s">
        <v>43</v>
      </c>
      <c r="F3" t="s">
        <v>44</v>
      </c>
      <c r="G3" t="s">
        <v>45</v>
      </c>
    </row>
    <row r="4" spans="1:8" x14ac:dyDescent="0.25">
      <c r="A4" t="s">
        <v>1</v>
      </c>
      <c r="B4" t="s">
        <v>17</v>
      </c>
      <c r="C4" t="s">
        <v>46</v>
      </c>
      <c r="D4" t="s">
        <v>158</v>
      </c>
      <c r="E4" t="s">
        <v>47</v>
      </c>
      <c r="F4" t="s">
        <v>48</v>
      </c>
      <c r="G4" t="s">
        <v>72</v>
      </c>
    </row>
    <row r="5" spans="1:8" x14ac:dyDescent="0.25">
      <c r="A5" t="s">
        <v>43</v>
      </c>
      <c r="B5" t="s">
        <v>17</v>
      </c>
      <c r="C5" t="s">
        <v>49</v>
      </c>
      <c r="E5" t="s">
        <v>35</v>
      </c>
      <c r="F5" t="s">
        <v>50</v>
      </c>
      <c r="G5" t="s">
        <v>51</v>
      </c>
    </row>
    <row r="6" spans="1:8" x14ac:dyDescent="0.25">
      <c r="A6" t="s">
        <v>18</v>
      </c>
      <c r="B6" t="s">
        <v>19</v>
      </c>
      <c r="C6" t="s">
        <v>49</v>
      </c>
      <c r="E6" t="str">
        <f t="shared" ref="E6:E12" si="0">A6</f>
        <v>Date</v>
      </c>
      <c r="F6" t="s">
        <v>52</v>
      </c>
      <c r="G6" t="s">
        <v>19</v>
      </c>
    </row>
    <row r="7" spans="1:8" x14ac:dyDescent="0.25">
      <c r="A7" t="s">
        <v>53</v>
      </c>
      <c r="B7" t="s">
        <v>54</v>
      </c>
      <c r="C7" t="s">
        <v>49</v>
      </c>
      <c r="E7" t="str">
        <f t="shared" si="0"/>
        <v>Time</v>
      </c>
      <c r="F7" t="s">
        <v>55</v>
      </c>
      <c r="G7" t="s">
        <v>54</v>
      </c>
    </row>
    <row r="8" spans="1:8" x14ac:dyDescent="0.25">
      <c r="A8" t="s">
        <v>56</v>
      </c>
      <c r="B8" t="s">
        <v>17</v>
      </c>
      <c r="C8" t="s">
        <v>58</v>
      </c>
      <c r="E8" t="str">
        <f t="shared" si="0"/>
        <v>Depression</v>
      </c>
      <c r="F8" t="s">
        <v>50</v>
      </c>
      <c r="G8" t="s">
        <v>60</v>
      </c>
    </row>
    <row r="9" spans="1:8" x14ac:dyDescent="0.25">
      <c r="A9" t="s">
        <v>61</v>
      </c>
      <c r="B9" t="s">
        <v>17</v>
      </c>
      <c r="C9" t="s">
        <v>58</v>
      </c>
      <c r="E9" t="str">
        <f t="shared" si="0"/>
        <v>Elevated</v>
      </c>
      <c r="F9" t="s">
        <v>50</v>
      </c>
      <c r="G9" t="s">
        <v>62</v>
      </c>
    </row>
    <row r="10" spans="1:8" x14ac:dyDescent="0.25">
      <c r="A10" t="s">
        <v>63</v>
      </c>
      <c r="B10" t="s">
        <v>17</v>
      </c>
      <c r="C10" t="s">
        <v>58</v>
      </c>
      <c r="E10" t="str">
        <f t="shared" si="0"/>
        <v>Irritable</v>
      </c>
      <c r="F10" t="s">
        <v>50</v>
      </c>
      <c r="G10" t="s">
        <v>64</v>
      </c>
    </row>
    <row r="11" spans="1:8" x14ac:dyDescent="0.25">
      <c r="A11" t="s">
        <v>65</v>
      </c>
      <c r="B11" t="s">
        <v>17</v>
      </c>
      <c r="C11" t="s">
        <v>58</v>
      </c>
      <c r="E11" t="str">
        <f t="shared" si="0"/>
        <v>Anxiety</v>
      </c>
      <c r="F11" t="s">
        <v>50</v>
      </c>
      <c r="G11" t="s">
        <v>66</v>
      </c>
    </row>
    <row r="12" spans="1:8" x14ac:dyDescent="0.25">
      <c r="A12" t="s">
        <v>31</v>
      </c>
      <c r="B12" t="s">
        <v>32</v>
      </c>
      <c r="C12" t="s">
        <v>58</v>
      </c>
      <c r="E12" t="str">
        <f t="shared" si="0"/>
        <v>Notes</v>
      </c>
      <c r="F12" t="s">
        <v>67</v>
      </c>
      <c r="G12" t="s">
        <v>68</v>
      </c>
    </row>
    <row r="13" spans="1:8" x14ac:dyDescent="0.25">
      <c r="E13" t="s">
        <v>69</v>
      </c>
      <c r="F13" t="s">
        <v>70</v>
      </c>
      <c r="G13" t="s">
        <v>71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topLeftCell="A7" workbookViewId="0">
      <selection activeCell="B7" sqref="B7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80" x14ac:dyDescent="0.25">
      <c r="A1" t="s">
        <v>73</v>
      </c>
      <c r="B1" s="1" t="s">
        <v>192</v>
      </c>
    </row>
    <row r="2" spans="1:3" ht="180" x14ac:dyDescent="0.25">
      <c r="A2" t="s">
        <v>144</v>
      </c>
      <c r="B2" s="1" t="s">
        <v>145</v>
      </c>
    </row>
    <row r="3" spans="1:3" ht="30" x14ac:dyDescent="0.25">
      <c r="A3" t="s">
        <v>160</v>
      </c>
      <c r="B3" s="1" t="s">
        <v>161</v>
      </c>
    </row>
    <row r="5" spans="1:3" ht="330" x14ac:dyDescent="0.25">
      <c r="A5" t="s">
        <v>177</v>
      </c>
      <c r="B5" s="1" t="s">
        <v>193</v>
      </c>
    </row>
    <row r="6" spans="1:3" ht="409.5" x14ac:dyDescent="0.25">
      <c r="A6" t="s">
        <v>178</v>
      </c>
      <c r="B6" s="1" t="s">
        <v>194</v>
      </c>
      <c r="C6">
        <v>1470</v>
      </c>
    </row>
    <row r="7" spans="1:3" ht="409.5" x14ac:dyDescent="0.25">
      <c r="A7" t="s">
        <v>179</v>
      </c>
      <c r="B7" s="1" t="s">
        <v>195</v>
      </c>
      <c r="C7">
        <v>1553</v>
      </c>
    </row>
    <row r="9" spans="1:3" ht="409.5" x14ac:dyDescent="0.25">
      <c r="A9" t="s">
        <v>179</v>
      </c>
      <c r="B9" s="1" t="s">
        <v>188</v>
      </c>
      <c r="C9">
        <v>1031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E21" sqref="E21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29</v>
      </c>
      <c r="B1" t="s">
        <v>34</v>
      </c>
      <c r="C1" t="s">
        <v>41</v>
      </c>
      <c r="D1" t="s">
        <v>156</v>
      </c>
      <c r="E1" t="s">
        <v>37</v>
      </c>
      <c r="F1" t="s">
        <v>38</v>
      </c>
      <c r="G1" t="s">
        <v>39</v>
      </c>
      <c r="H1" t="s">
        <v>98</v>
      </c>
    </row>
    <row r="2" spans="1:8" x14ac:dyDescent="0.25">
      <c r="D2" t="s">
        <v>74</v>
      </c>
      <c r="E2">
        <f>A2</f>
        <v>0</v>
      </c>
      <c r="G2" t="s">
        <v>40</v>
      </c>
    </row>
    <row r="3" spans="1:8" x14ac:dyDescent="0.25">
      <c r="A3" t="s">
        <v>75</v>
      </c>
      <c r="B3" t="s">
        <v>17</v>
      </c>
      <c r="C3" t="s">
        <v>42</v>
      </c>
      <c r="D3" t="s">
        <v>157</v>
      </c>
      <c r="E3" t="s">
        <v>2</v>
      </c>
      <c r="F3" t="s">
        <v>44</v>
      </c>
      <c r="G3" t="s">
        <v>79</v>
      </c>
    </row>
    <row r="4" spans="1:8" x14ac:dyDescent="0.25">
      <c r="A4" t="s">
        <v>1</v>
      </c>
      <c r="B4" t="s">
        <v>17</v>
      </c>
      <c r="C4" t="s">
        <v>46</v>
      </c>
      <c r="D4" t="s">
        <v>158</v>
      </c>
      <c r="E4" t="s">
        <v>47</v>
      </c>
      <c r="F4" t="s">
        <v>48</v>
      </c>
      <c r="G4" t="s">
        <v>72</v>
      </c>
    </row>
    <row r="5" spans="1:8" x14ac:dyDescent="0.25">
      <c r="A5" t="s">
        <v>2</v>
      </c>
      <c r="B5" t="s">
        <v>17</v>
      </c>
      <c r="C5" t="s">
        <v>49</v>
      </c>
      <c r="E5" t="s">
        <v>75</v>
      </c>
      <c r="F5" t="s">
        <v>50</v>
      </c>
      <c r="G5" t="s">
        <v>80</v>
      </c>
    </row>
    <row r="6" spans="1:8" x14ac:dyDescent="0.25">
      <c r="A6" t="s">
        <v>18</v>
      </c>
      <c r="B6" t="s">
        <v>19</v>
      </c>
      <c r="C6" t="s">
        <v>49</v>
      </c>
      <c r="E6" t="str">
        <f t="shared" ref="E6:E24" si="0">A6</f>
        <v>Date</v>
      </c>
      <c r="F6" t="s">
        <v>52</v>
      </c>
      <c r="G6" t="s">
        <v>19</v>
      </c>
    </row>
    <row r="7" spans="1:8" x14ac:dyDescent="0.25">
      <c r="A7" s="1" t="s">
        <v>20</v>
      </c>
      <c r="B7" t="s">
        <v>21</v>
      </c>
      <c r="C7" t="s">
        <v>58</v>
      </c>
      <c r="E7" t="str">
        <f t="shared" si="0"/>
        <v>FoodType</v>
      </c>
      <c r="F7" t="s">
        <v>76</v>
      </c>
      <c r="G7" t="s">
        <v>81</v>
      </c>
    </row>
    <row r="8" spans="1:8" x14ac:dyDescent="0.25">
      <c r="A8" s="1" t="s">
        <v>22</v>
      </c>
      <c r="B8" t="s">
        <v>23</v>
      </c>
      <c r="C8" t="s">
        <v>58</v>
      </c>
      <c r="E8" t="str">
        <f t="shared" si="0"/>
        <v>Meal</v>
      </c>
      <c r="F8" t="s">
        <v>78</v>
      </c>
      <c r="G8" t="s">
        <v>82</v>
      </c>
    </row>
    <row r="9" spans="1:8" x14ac:dyDescent="0.25">
      <c r="A9" s="1" t="s">
        <v>33</v>
      </c>
      <c r="B9" t="s">
        <v>23</v>
      </c>
      <c r="C9" t="s">
        <v>58</v>
      </c>
      <c r="E9" t="str">
        <f t="shared" si="0"/>
        <v>ServingSize</v>
      </c>
      <c r="F9" t="s">
        <v>78</v>
      </c>
      <c r="G9" t="s">
        <v>91</v>
      </c>
    </row>
    <row r="10" spans="1:8" x14ac:dyDescent="0.25">
      <c r="A10" s="1" t="s">
        <v>3</v>
      </c>
      <c r="B10" t="s">
        <v>17</v>
      </c>
      <c r="C10" t="s">
        <v>58</v>
      </c>
      <c r="E10" t="str">
        <f t="shared" si="0"/>
        <v>Calories</v>
      </c>
      <c r="F10" t="s">
        <v>50</v>
      </c>
      <c r="G10" t="s">
        <v>83</v>
      </c>
    </row>
    <row r="11" spans="1:8" x14ac:dyDescent="0.25">
      <c r="A11" s="1" t="s">
        <v>4</v>
      </c>
      <c r="B11" t="s">
        <v>17</v>
      </c>
      <c r="C11" t="s">
        <v>58</v>
      </c>
      <c r="E11" t="str">
        <f t="shared" si="0"/>
        <v>TotalFat</v>
      </c>
      <c r="F11" t="s">
        <v>50</v>
      </c>
      <c r="G11" t="s">
        <v>92</v>
      </c>
    </row>
    <row r="12" spans="1:8" x14ac:dyDescent="0.25">
      <c r="A12" s="1" t="s">
        <v>5</v>
      </c>
      <c r="B12" t="s">
        <v>17</v>
      </c>
      <c r="C12" t="s">
        <v>58</v>
      </c>
      <c r="E12" t="str">
        <f t="shared" si="0"/>
        <v>SaturatedFat</v>
      </c>
      <c r="F12" t="s">
        <v>50</v>
      </c>
      <c r="G12" t="s">
        <v>97</v>
      </c>
    </row>
    <row r="13" spans="1:8" x14ac:dyDescent="0.25">
      <c r="A13" s="1" t="s">
        <v>6</v>
      </c>
      <c r="B13" t="s">
        <v>17</v>
      </c>
      <c r="C13" t="s">
        <v>58</v>
      </c>
      <c r="E13" t="str">
        <f t="shared" si="0"/>
        <v>TransFat</v>
      </c>
      <c r="F13" t="s">
        <v>50</v>
      </c>
      <c r="G13" t="s">
        <v>93</v>
      </c>
    </row>
    <row r="14" spans="1:8" x14ac:dyDescent="0.25">
      <c r="A14" s="1" t="s">
        <v>7</v>
      </c>
      <c r="B14" t="s">
        <v>17</v>
      </c>
      <c r="C14" t="s">
        <v>58</v>
      </c>
      <c r="E14" t="str">
        <f t="shared" si="0"/>
        <v>Cholesterol</v>
      </c>
      <c r="F14" t="s">
        <v>50</v>
      </c>
      <c r="G14" t="s">
        <v>84</v>
      </c>
    </row>
    <row r="15" spans="1:8" x14ac:dyDescent="0.25">
      <c r="A15" s="1" t="s">
        <v>8</v>
      </c>
      <c r="B15" t="s">
        <v>17</v>
      </c>
      <c r="C15" t="s">
        <v>58</v>
      </c>
      <c r="E15" t="str">
        <f t="shared" si="0"/>
        <v>Sodium</v>
      </c>
      <c r="F15" t="s">
        <v>50</v>
      </c>
      <c r="G15" t="s">
        <v>85</v>
      </c>
    </row>
    <row r="16" spans="1:8" x14ac:dyDescent="0.25">
      <c r="A16" s="1" t="s">
        <v>9</v>
      </c>
      <c r="B16" t="s">
        <v>17</v>
      </c>
      <c r="C16" t="s">
        <v>58</v>
      </c>
      <c r="E16" t="str">
        <f t="shared" si="0"/>
        <v>TotalCarbs</v>
      </c>
      <c r="F16" t="s">
        <v>50</v>
      </c>
      <c r="G16" t="s">
        <v>94</v>
      </c>
    </row>
    <row r="17" spans="1:7" x14ac:dyDescent="0.25">
      <c r="A17" s="1" t="s">
        <v>10</v>
      </c>
      <c r="B17" t="s">
        <v>17</v>
      </c>
      <c r="C17" t="s">
        <v>58</v>
      </c>
      <c r="E17" t="str">
        <f t="shared" si="0"/>
        <v>DietaryFiber</v>
      </c>
      <c r="F17" t="s">
        <v>50</v>
      </c>
      <c r="G17" t="s">
        <v>86</v>
      </c>
    </row>
    <row r="18" spans="1:7" x14ac:dyDescent="0.25">
      <c r="A18" s="1" t="s">
        <v>11</v>
      </c>
      <c r="B18" t="s">
        <v>17</v>
      </c>
      <c r="C18" t="s">
        <v>58</v>
      </c>
      <c r="E18" t="str">
        <f t="shared" si="0"/>
        <v>Sugars</v>
      </c>
      <c r="F18" t="s">
        <v>50</v>
      </c>
      <c r="G18" t="s">
        <v>87</v>
      </c>
    </row>
    <row r="19" spans="1:7" x14ac:dyDescent="0.25">
      <c r="A19" s="1" t="s">
        <v>12</v>
      </c>
      <c r="B19" t="s">
        <v>17</v>
      </c>
      <c r="C19" t="s">
        <v>58</v>
      </c>
      <c r="E19" t="str">
        <f t="shared" si="0"/>
        <v>Protein</v>
      </c>
      <c r="F19" t="s">
        <v>50</v>
      </c>
      <c r="G19" t="s">
        <v>88</v>
      </c>
    </row>
    <row r="20" spans="1:7" x14ac:dyDescent="0.25">
      <c r="A20" s="1" t="s">
        <v>13</v>
      </c>
      <c r="B20" t="s">
        <v>17</v>
      </c>
      <c r="C20" t="s">
        <v>58</v>
      </c>
      <c r="E20" t="str">
        <f t="shared" si="0"/>
        <v>VitaminA</v>
      </c>
      <c r="F20" t="s">
        <v>50</v>
      </c>
      <c r="G20" t="s">
        <v>95</v>
      </c>
    </row>
    <row r="21" spans="1:7" x14ac:dyDescent="0.25">
      <c r="A21" s="1" t="s">
        <v>14</v>
      </c>
      <c r="B21" t="s">
        <v>17</v>
      </c>
      <c r="C21" t="s">
        <v>58</v>
      </c>
      <c r="E21" t="str">
        <f t="shared" si="0"/>
        <v>VitaminB</v>
      </c>
      <c r="F21" t="s">
        <v>50</v>
      </c>
      <c r="G21" t="s">
        <v>96</v>
      </c>
    </row>
    <row r="22" spans="1:7" x14ac:dyDescent="0.25">
      <c r="A22" s="1" t="s">
        <v>15</v>
      </c>
      <c r="B22" t="s">
        <v>17</v>
      </c>
      <c r="C22" t="s">
        <v>58</v>
      </c>
      <c r="E22" t="str">
        <f t="shared" si="0"/>
        <v>Calcium</v>
      </c>
      <c r="F22" t="s">
        <v>50</v>
      </c>
      <c r="G22" t="s">
        <v>89</v>
      </c>
    </row>
    <row r="23" spans="1:7" x14ac:dyDescent="0.25">
      <c r="A23" s="1" t="s">
        <v>16</v>
      </c>
      <c r="B23" t="s">
        <v>17</v>
      </c>
      <c r="C23" t="s">
        <v>58</v>
      </c>
      <c r="E23" t="str">
        <f t="shared" si="0"/>
        <v>Iron</v>
      </c>
      <c r="F23" t="s">
        <v>50</v>
      </c>
      <c r="G23" t="s">
        <v>90</v>
      </c>
    </row>
    <row r="24" spans="1:7" x14ac:dyDescent="0.25">
      <c r="A24" t="s">
        <v>31</v>
      </c>
      <c r="B24" t="s">
        <v>32</v>
      </c>
      <c r="C24" t="s">
        <v>58</v>
      </c>
      <c r="E24" t="str">
        <f t="shared" si="0"/>
        <v>Notes</v>
      </c>
      <c r="F24" t="s">
        <v>67</v>
      </c>
      <c r="G24" t="s">
        <v>68</v>
      </c>
    </row>
    <row r="25" spans="1:7" x14ac:dyDescent="0.25">
      <c r="E25" t="s">
        <v>69</v>
      </c>
      <c r="F25" t="s">
        <v>70</v>
      </c>
      <c r="G25" t="s">
        <v>71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"/>
  <sheetViews>
    <sheetView workbookViewId="0">
      <selection activeCell="B7" sqref="B7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60" x14ac:dyDescent="0.25">
      <c r="A1" t="s">
        <v>73</v>
      </c>
      <c r="B1" s="1" t="s">
        <v>99</v>
      </c>
    </row>
    <row r="2" spans="1:3" ht="360" x14ac:dyDescent="0.25">
      <c r="A2" t="s">
        <v>144</v>
      </c>
      <c r="B2" s="1" t="s">
        <v>149</v>
      </c>
    </row>
    <row r="3" spans="1:3" ht="45" x14ac:dyDescent="0.25">
      <c r="A3" t="s">
        <v>160</v>
      </c>
      <c r="B3" s="1" t="s">
        <v>162</v>
      </c>
    </row>
    <row r="5" spans="1:3" ht="409.5" x14ac:dyDescent="0.25">
      <c r="A5" t="s">
        <v>177</v>
      </c>
      <c r="B5" s="1" t="s">
        <v>175</v>
      </c>
    </row>
    <row r="6" spans="1:3" ht="409.5" x14ac:dyDescent="0.25">
      <c r="A6" t="s">
        <v>178</v>
      </c>
      <c r="B6" s="1" t="s">
        <v>180</v>
      </c>
      <c r="C6">
        <v>3368</v>
      </c>
    </row>
    <row r="7" spans="1:3" ht="409.5" x14ac:dyDescent="0.25">
      <c r="A7" t="s">
        <v>179</v>
      </c>
      <c r="B7" s="1" t="s">
        <v>181</v>
      </c>
      <c r="C7">
        <v>3463</v>
      </c>
    </row>
    <row r="9" spans="1:3" ht="409.5" x14ac:dyDescent="0.25">
      <c r="A9" t="s">
        <v>179</v>
      </c>
      <c r="B9" s="1" t="s">
        <v>189</v>
      </c>
      <c r="C9">
        <v>2063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6"/>
  <sheetViews>
    <sheetView workbookViewId="0">
      <selection activeCell="E22" sqref="E22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29</v>
      </c>
      <c r="B1" t="s">
        <v>34</v>
      </c>
      <c r="C1" t="s">
        <v>41</v>
      </c>
      <c r="D1" t="s">
        <v>156</v>
      </c>
      <c r="E1" t="s">
        <v>37</v>
      </c>
      <c r="F1" t="s">
        <v>38</v>
      </c>
      <c r="G1" t="s">
        <v>39</v>
      </c>
      <c r="H1" t="s">
        <v>98</v>
      </c>
    </row>
    <row r="2" spans="1:8" x14ac:dyDescent="0.25">
      <c r="D2" t="s">
        <v>100</v>
      </c>
      <c r="E2">
        <f>A2</f>
        <v>0</v>
      </c>
      <c r="G2" t="s">
        <v>40</v>
      </c>
    </row>
    <row r="3" spans="1:8" x14ac:dyDescent="0.25">
      <c r="A3" t="s">
        <v>103</v>
      </c>
      <c r="B3" t="s">
        <v>17</v>
      </c>
      <c r="C3" t="s">
        <v>42</v>
      </c>
      <c r="D3" t="s">
        <v>157</v>
      </c>
      <c r="E3" t="s">
        <v>104</v>
      </c>
      <c r="F3" t="s">
        <v>44</v>
      </c>
      <c r="G3" t="s">
        <v>101</v>
      </c>
      <c r="H3" s="2" t="s">
        <v>150</v>
      </c>
    </row>
    <row r="4" spans="1:8" x14ac:dyDescent="0.25">
      <c r="A4" t="s">
        <v>1</v>
      </c>
      <c r="B4" t="s">
        <v>17</v>
      </c>
      <c r="C4" t="s">
        <v>46</v>
      </c>
      <c r="D4" t="s">
        <v>159</v>
      </c>
      <c r="E4" t="s">
        <v>47</v>
      </c>
      <c r="F4" t="s">
        <v>48</v>
      </c>
      <c r="G4" t="s">
        <v>72</v>
      </c>
      <c r="H4" s="2" t="s">
        <v>151</v>
      </c>
    </row>
    <row r="5" spans="1:8" x14ac:dyDescent="0.25">
      <c r="A5" t="s">
        <v>104</v>
      </c>
      <c r="B5" t="s">
        <v>17</v>
      </c>
      <c r="C5" t="s">
        <v>49</v>
      </c>
      <c r="E5" t="s">
        <v>103</v>
      </c>
      <c r="F5" t="s">
        <v>50</v>
      </c>
      <c r="G5" t="s">
        <v>102</v>
      </c>
    </row>
    <row r="6" spans="1:8" x14ac:dyDescent="0.25">
      <c r="A6" t="s">
        <v>112</v>
      </c>
      <c r="B6" t="s">
        <v>32</v>
      </c>
      <c r="C6" t="s">
        <v>58</v>
      </c>
      <c r="E6" t="str">
        <f>A6</f>
        <v>Title</v>
      </c>
      <c r="F6" t="s">
        <v>67</v>
      </c>
      <c r="G6" t="s">
        <v>105</v>
      </c>
      <c r="H6" s="2" t="s">
        <v>152</v>
      </c>
    </row>
    <row r="7" spans="1:8" x14ac:dyDescent="0.25">
      <c r="A7" t="s">
        <v>113</v>
      </c>
      <c r="B7" t="s">
        <v>121</v>
      </c>
      <c r="C7" t="s">
        <v>58</v>
      </c>
      <c r="E7" t="str">
        <f t="shared" ref="E7:E15" si="0">A7</f>
        <v>Type</v>
      </c>
      <c r="F7" t="s">
        <v>124</v>
      </c>
      <c r="G7" t="s">
        <v>81</v>
      </c>
      <c r="H7" s="2" t="s">
        <v>153</v>
      </c>
    </row>
    <row r="8" spans="1:8" x14ac:dyDescent="0.25">
      <c r="A8" t="s">
        <v>114</v>
      </c>
      <c r="B8" t="s">
        <v>122</v>
      </c>
      <c r="C8" t="s">
        <v>58</v>
      </c>
      <c r="E8" t="str">
        <f t="shared" si="0"/>
        <v>Minutes</v>
      </c>
      <c r="F8" t="s">
        <v>125</v>
      </c>
      <c r="G8" t="s">
        <v>106</v>
      </c>
      <c r="H8" s="2" t="s">
        <v>154</v>
      </c>
    </row>
    <row r="9" spans="1:8" x14ac:dyDescent="0.25">
      <c r="A9" t="s">
        <v>115</v>
      </c>
      <c r="B9" t="s">
        <v>122</v>
      </c>
      <c r="C9" t="s">
        <v>58</v>
      </c>
      <c r="E9" t="str">
        <f t="shared" si="0"/>
        <v>Reps</v>
      </c>
      <c r="F9" t="s">
        <v>125</v>
      </c>
      <c r="G9" t="s">
        <v>107</v>
      </c>
      <c r="H9" s="2" t="s">
        <v>155</v>
      </c>
    </row>
    <row r="10" spans="1:8" x14ac:dyDescent="0.25">
      <c r="A10" t="s">
        <v>116</v>
      </c>
      <c r="B10" t="s">
        <v>122</v>
      </c>
      <c r="C10" t="s">
        <v>58</v>
      </c>
      <c r="E10" t="str">
        <f t="shared" si="0"/>
        <v>Laps</v>
      </c>
      <c r="F10" t="s">
        <v>125</v>
      </c>
      <c r="G10" t="s">
        <v>108</v>
      </c>
    </row>
    <row r="11" spans="1:8" x14ac:dyDescent="0.25">
      <c r="A11" t="s">
        <v>117</v>
      </c>
      <c r="B11" t="s">
        <v>123</v>
      </c>
      <c r="C11" t="s">
        <v>58</v>
      </c>
      <c r="E11" t="str">
        <f t="shared" si="0"/>
        <v>Weight</v>
      </c>
      <c r="F11" t="s">
        <v>126</v>
      </c>
      <c r="G11" t="s">
        <v>109</v>
      </c>
    </row>
    <row r="12" spans="1:8" x14ac:dyDescent="0.25">
      <c r="A12" t="s">
        <v>118</v>
      </c>
      <c r="B12" t="s">
        <v>122</v>
      </c>
      <c r="C12" t="s">
        <v>58</v>
      </c>
      <c r="E12" t="str">
        <f t="shared" si="0"/>
        <v>Inty</v>
      </c>
      <c r="F12" t="s">
        <v>125</v>
      </c>
      <c r="G12" t="s">
        <v>110</v>
      </c>
    </row>
    <row r="13" spans="1:8" x14ac:dyDescent="0.25">
      <c r="A13" t="s">
        <v>31</v>
      </c>
      <c r="B13" t="s">
        <v>32</v>
      </c>
      <c r="C13" t="s">
        <v>58</v>
      </c>
      <c r="E13" t="str">
        <f t="shared" si="0"/>
        <v>Notes</v>
      </c>
      <c r="F13" t="s">
        <v>67</v>
      </c>
      <c r="G13" t="s">
        <v>111</v>
      </c>
    </row>
    <row r="14" spans="1:8" x14ac:dyDescent="0.25">
      <c r="A14" t="s">
        <v>119</v>
      </c>
      <c r="B14" t="s">
        <v>19</v>
      </c>
      <c r="C14" t="s">
        <v>49</v>
      </c>
      <c r="E14" t="str">
        <f t="shared" si="0"/>
        <v>DateEx</v>
      </c>
      <c r="F14" t="s">
        <v>127</v>
      </c>
      <c r="G14" t="s">
        <v>19</v>
      </c>
    </row>
    <row r="15" spans="1:8" x14ac:dyDescent="0.25">
      <c r="A15" t="s">
        <v>120</v>
      </c>
      <c r="B15" t="s">
        <v>57</v>
      </c>
      <c r="C15" t="s">
        <v>49</v>
      </c>
      <c r="E15" t="str">
        <f t="shared" si="0"/>
        <v>TimeEx</v>
      </c>
      <c r="F15" t="s">
        <v>59</v>
      </c>
      <c r="G15" t="s">
        <v>54</v>
      </c>
    </row>
    <row r="16" spans="1:8" x14ac:dyDescent="0.25">
      <c r="E16" t="s">
        <v>69</v>
      </c>
      <c r="F16" t="s">
        <v>70</v>
      </c>
      <c r="G16" t="s">
        <v>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9"/>
  <sheetViews>
    <sheetView topLeftCell="A6" workbookViewId="0">
      <selection activeCell="B7" sqref="B7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225" x14ac:dyDescent="0.25">
      <c r="A1" t="s">
        <v>73</v>
      </c>
      <c r="B1" s="1" t="s">
        <v>128</v>
      </c>
    </row>
    <row r="2" spans="1:3" ht="255" x14ac:dyDescent="0.25">
      <c r="A2" t="s">
        <v>144</v>
      </c>
      <c r="B2" s="1" t="s">
        <v>191</v>
      </c>
    </row>
    <row r="3" spans="1:3" ht="30" x14ac:dyDescent="0.25">
      <c r="A3" t="s">
        <v>160</v>
      </c>
      <c r="B3" s="1" t="s">
        <v>163</v>
      </c>
    </row>
    <row r="5" spans="1:3" ht="375" x14ac:dyDescent="0.25">
      <c r="A5" t="s">
        <v>177</v>
      </c>
      <c r="B5" s="1" t="s">
        <v>184</v>
      </c>
    </row>
    <row r="6" spans="1:3" ht="409.5" x14ac:dyDescent="0.25">
      <c r="A6" t="s">
        <v>178</v>
      </c>
      <c r="B6" s="1" t="s">
        <v>185</v>
      </c>
      <c r="C6">
        <v>1717</v>
      </c>
    </row>
    <row r="7" spans="1:3" ht="409.5" x14ac:dyDescent="0.25">
      <c r="A7" t="s">
        <v>179</v>
      </c>
      <c r="B7" s="1" t="s">
        <v>186</v>
      </c>
      <c r="C7">
        <v>1811</v>
      </c>
    </row>
    <row r="9" spans="1:3" ht="409.5" x14ac:dyDescent="0.25">
      <c r="A9" t="s">
        <v>179</v>
      </c>
      <c r="B9" s="1" t="s">
        <v>187</v>
      </c>
      <c r="C9">
        <v>1258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E12" sqref="E12:G12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29</v>
      </c>
      <c r="B1" t="s">
        <v>34</v>
      </c>
      <c r="C1" t="s">
        <v>41</v>
      </c>
      <c r="D1" t="s">
        <v>156</v>
      </c>
      <c r="E1" t="s">
        <v>37</v>
      </c>
      <c r="F1" t="s">
        <v>38</v>
      </c>
      <c r="G1" t="s">
        <v>39</v>
      </c>
    </row>
    <row r="2" spans="1:8" x14ac:dyDescent="0.25">
      <c r="D2" t="s">
        <v>129</v>
      </c>
      <c r="E2">
        <f>A2</f>
        <v>0</v>
      </c>
      <c r="G2" t="s">
        <v>40</v>
      </c>
    </row>
    <row r="3" spans="1:8" x14ac:dyDescent="0.25">
      <c r="A3" t="s">
        <v>130</v>
      </c>
      <c r="B3" t="s">
        <v>17</v>
      </c>
      <c r="C3" t="s">
        <v>42</v>
      </c>
      <c r="D3" t="s">
        <v>157</v>
      </c>
      <c r="E3" t="s">
        <v>131</v>
      </c>
      <c r="F3" t="s">
        <v>44</v>
      </c>
      <c r="G3" t="s">
        <v>132</v>
      </c>
      <c r="H3" s="2" t="s">
        <v>146</v>
      </c>
    </row>
    <row r="4" spans="1:8" x14ac:dyDescent="0.25">
      <c r="A4" t="s">
        <v>1</v>
      </c>
      <c r="B4" t="s">
        <v>17</v>
      </c>
      <c r="C4" t="s">
        <v>46</v>
      </c>
      <c r="D4" t="s">
        <v>159</v>
      </c>
      <c r="E4" t="s">
        <v>47</v>
      </c>
      <c r="F4" t="s">
        <v>48</v>
      </c>
      <c r="G4" t="s">
        <v>72</v>
      </c>
    </row>
    <row r="5" spans="1:8" x14ac:dyDescent="0.25">
      <c r="A5" t="s">
        <v>131</v>
      </c>
      <c r="B5" t="s">
        <v>17</v>
      </c>
      <c r="C5" t="s">
        <v>49</v>
      </c>
      <c r="E5" t="s">
        <v>130</v>
      </c>
      <c r="F5" t="s">
        <v>50</v>
      </c>
      <c r="G5" t="s">
        <v>133</v>
      </c>
      <c r="H5" s="2" t="s">
        <v>147</v>
      </c>
    </row>
    <row r="6" spans="1:8" x14ac:dyDescent="0.25">
      <c r="A6" t="s">
        <v>18</v>
      </c>
      <c r="B6" t="s">
        <v>19</v>
      </c>
      <c r="C6" t="s">
        <v>49</v>
      </c>
      <c r="E6" t="str">
        <f t="shared" ref="E6:E11" si="0">A6</f>
        <v>Date</v>
      </c>
      <c r="F6" t="s">
        <v>127</v>
      </c>
      <c r="G6" t="s">
        <v>19</v>
      </c>
    </row>
    <row r="7" spans="1:8" x14ac:dyDescent="0.25">
      <c r="A7" t="s">
        <v>53</v>
      </c>
      <c r="B7" t="s">
        <v>54</v>
      </c>
      <c r="C7" t="s">
        <v>49</v>
      </c>
      <c r="E7" t="str">
        <f t="shared" si="0"/>
        <v>Time</v>
      </c>
      <c r="F7" t="s">
        <v>55</v>
      </c>
      <c r="G7" t="s">
        <v>54</v>
      </c>
    </row>
    <row r="8" spans="1:8" x14ac:dyDescent="0.25">
      <c r="A8" t="s">
        <v>134</v>
      </c>
      <c r="B8" t="s">
        <v>54</v>
      </c>
      <c r="C8" t="s">
        <v>49</v>
      </c>
      <c r="E8" t="str">
        <f t="shared" si="0"/>
        <v>Duration</v>
      </c>
      <c r="F8" t="s">
        <v>55</v>
      </c>
      <c r="G8" t="s">
        <v>140</v>
      </c>
    </row>
    <row r="9" spans="1:8" x14ac:dyDescent="0.25">
      <c r="A9" t="s">
        <v>135</v>
      </c>
      <c r="B9" t="s">
        <v>17</v>
      </c>
      <c r="C9" t="s">
        <v>58</v>
      </c>
      <c r="E9" t="str">
        <f t="shared" si="0"/>
        <v>Quality</v>
      </c>
      <c r="F9" t="s">
        <v>77</v>
      </c>
      <c r="G9" t="s">
        <v>141</v>
      </c>
    </row>
    <row r="10" spans="1:8" x14ac:dyDescent="0.25">
      <c r="A10" t="s">
        <v>31</v>
      </c>
      <c r="B10" t="s">
        <v>137</v>
      </c>
      <c r="C10" t="s">
        <v>58</v>
      </c>
      <c r="E10" t="str">
        <f t="shared" si="0"/>
        <v>Notes</v>
      </c>
      <c r="F10" t="s">
        <v>138</v>
      </c>
      <c r="G10" t="s">
        <v>111</v>
      </c>
    </row>
    <row r="11" spans="1:8" x14ac:dyDescent="0.25">
      <c r="A11" t="s">
        <v>136</v>
      </c>
      <c r="B11" t="s">
        <v>23</v>
      </c>
      <c r="C11" t="s">
        <v>58</v>
      </c>
      <c r="E11" t="str">
        <f t="shared" si="0"/>
        <v>Health</v>
      </c>
      <c r="F11" t="s">
        <v>139</v>
      </c>
      <c r="G11" t="s">
        <v>142</v>
      </c>
    </row>
    <row r="12" spans="1:8" x14ac:dyDescent="0.25">
      <c r="E12" t="s">
        <v>69</v>
      </c>
      <c r="F12" t="s">
        <v>70</v>
      </c>
      <c r="G12" t="s">
        <v>71</v>
      </c>
      <c r="H12" s="2" t="s">
        <v>148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9"/>
  <sheetViews>
    <sheetView workbookViewId="0">
      <selection activeCell="B3" sqref="B3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65" x14ac:dyDescent="0.25">
      <c r="A1" t="s">
        <v>73</v>
      </c>
      <c r="B1" s="1" t="s">
        <v>143</v>
      </c>
    </row>
    <row r="2" spans="1:3" ht="210" x14ac:dyDescent="0.25">
      <c r="A2" t="s">
        <v>144</v>
      </c>
      <c r="B2" s="1" t="s">
        <v>196</v>
      </c>
    </row>
    <row r="3" spans="1:3" ht="45.75" customHeight="1" x14ac:dyDescent="0.25">
      <c r="A3" t="s">
        <v>160</v>
      </c>
      <c r="B3" s="1" t="s">
        <v>164</v>
      </c>
    </row>
    <row r="5" spans="1:3" ht="315" x14ac:dyDescent="0.25">
      <c r="A5" t="s">
        <v>177</v>
      </c>
      <c r="B5" s="1" t="s">
        <v>176</v>
      </c>
    </row>
    <row r="6" spans="1:3" ht="409.5" x14ac:dyDescent="0.25">
      <c r="A6" t="s">
        <v>178</v>
      </c>
      <c r="B6" s="1" t="s">
        <v>182</v>
      </c>
      <c r="C6">
        <v>1009</v>
      </c>
    </row>
    <row r="7" spans="1:3" ht="409.5" x14ac:dyDescent="0.25">
      <c r="A7" t="s">
        <v>179</v>
      </c>
      <c r="B7" s="1" t="s">
        <v>183</v>
      </c>
      <c r="C7">
        <v>1094</v>
      </c>
    </row>
    <row r="9" spans="1:3" ht="409.5" x14ac:dyDescent="0.25">
      <c r="A9" t="s">
        <v>179</v>
      </c>
      <c r="B9" s="1" t="s">
        <v>190</v>
      </c>
      <c r="C9">
        <v>939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tabSelected="1" topLeftCell="A7" workbookViewId="0">
      <selection activeCell="B7" sqref="B7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95" x14ac:dyDescent="0.25">
      <c r="A1" t="s">
        <v>73</v>
      </c>
      <c r="B1" s="1" t="s">
        <v>213</v>
      </c>
    </row>
    <row r="2" spans="1:3" ht="195" x14ac:dyDescent="0.25">
      <c r="A2" t="s">
        <v>144</v>
      </c>
      <c r="B2" s="1" t="s">
        <v>214</v>
      </c>
    </row>
    <row r="3" spans="1:3" ht="30" x14ac:dyDescent="0.25">
      <c r="A3" t="s">
        <v>160</v>
      </c>
      <c r="B3" s="1" t="s">
        <v>215</v>
      </c>
    </row>
    <row r="5" spans="1:3" ht="345" x14ac:dyDescent="0.25">
      <c r="A5" t="s">
        <v>177</v>
      </c>
      <c r="B5" s="1" t="s">
        <v>216</v>
      </c>
    </row>
    <row r="6" spans="1:3" ht="409.5" x14ac:dyDescent="0.25">
      <c r="A6" t="s">
        <v>178</v>
      </c>
      <c r="B6" s="1" t="s">
        <v>217</v>
      </c>
      <c r="C6">
        <v>1096</v>
      </c>
    </row>
    <row r="7" spans="1:3" ht="409.5" x14ac:dyDescent="0.25">
      <c r="A7" t="s">
        <v>179</v>
      </c>
      <c r="B7" s="1" t="s">
        <v>218</v>
      </c>
      <c r="C7">
        <v>1194</v>
      </c>
    </row>
    <row r="9" spans="1:3" ht="409.5" x14ac:dyDescent="0.25">
      <c r="A9" t="s">
        <v>179</v>
      </c>
      <c r="B9" s="1" t="s">
        <v>219</v>
      </c>
      <c r="C9">
        <v>1167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F17" sqref="F17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" bestFit="1" customWidth="1"/>
    <col min="7" max="7" width="16.5703125" bestFit="1" customWidth="1"/>
  </cols>
  <sheetData>
    <row r="1" spans="1:7" x14ac:dyDescent="0.25">
      <c r="A1" t="s">
        <v>29</v>
      </c>
      <c r="B1" t="s">
        <v>34</v>
      </c>
      <c r="C1" t="s">
        <v>41</v>
      </c>
      <c r="D1" t="s">
        <v>156</v>
      </c>
      <c r="E1" t="s">
        <v>37</v>
      </c>
      <c r="F1" t="s">
        <v>38</v>
      </c>
      <c r="G1" t="s">
        <v>39</v>
      </c>
    </row>
    <row r="2" spans="1:7" x14ac:dyDescent="0.25">
      <c r="D2" t="s">
        <v>199</v>
      </c>
      <c r="E2">
        <f>A2</f>
        <v>0</v>
      </c>
      <c r="G2" t="s">
        <v>40</v>
      </c>
    </row>
    <row r="3" spans="1:7" x14ac:dyDescent="0.25">
      <c r="A3" t="s">
        <v>200</v>
      </c>
      <c r="B3" t="s">
        <v>17</v>
      </c>
      <c r="C3" t="s">
        <v>42</v>
      </c>
      <c r="D3" t="s">
        <v>157</v>
      </c>
      <c r="E3" t="s">
        <v>201</v>
      </c>
      <c r="F3" t="s">
        <v>44</v>
      </c>
      <c r="G3" t="s">
        <v>197</v>
      </c>
    </row>
    <row r="4" spans="1:7" x14ac:dyDescent="0.25">
      <c r="A4" t="s">
        <v>1</v>
      </c>
      <c r="B4" t="s">
        <v>17</v>
      </c>
      <c r="C4" t="s">
        <v>46</v>
      </c>
      <c r="D4" t="s">
        <v>159</v>
      </c>
      <c r="E4" t="s">
        <v>47</v>
      </c>
      <c r="F4" t="s">
        <v>48</v>
      </c>
      <c r="G4" t="s">
        <v>72</v>
      </c>
    </row>
    <row r="5" spans="1:7" x14ac:dyDescent="0.25">
      <c r="A5" t="s">
        <v>201</v>
      </c>
      <c r="B5" t="s">
        <v>17</v>
      </c>
      <c r="C5" t="s">
        <v>49</v>
      </c>
      <c r="E5" t="s">
        <v>200</v>
      </c>
      <c r="F5" t="s">
        <v>50</v>
      </c>
      <c r="G5" t="s">
        <v>198</v>
      </c>
    </row>
    <row r="6" spans="1:7" x14ac:dyDescent="0.25">
      <c r="A6" t="s">
        <v>18</v>
      </c>
      <c r="B6" t="s">
        <v>19</v>
      </c>
      <c r="C6" t="s">
        <v>49</v>
      </c>
      <c r="E6" t="str">
        <f t="shared" ref="E6:E12" si="0">A6</f>
        <v>Date</v>
      </c>
      <c r="F6" t="s">
        <v>127</v>
      </c>
      <c r="G6" t="s">
        <v>19</v>
      </c>
    </row>
    <row r="7" spans="1:7" x14ac:dyDescent="0.25">
      <c r="A7" t="s">
        <v>53</v>
      </c>
      <c r="B7" t="s">
        <v>54</v>
      </c>
      <c r="C7" t="s">
        <v>49</v>
      </c>
      <c r="E7" t="str">
        <f t="shared" si="0"/>
        <v>Time</v>
      </c>
      <c r="F7" t="s">
        <v>55</v>
      </c>
      <c r="G7" t="s">
        <v>54</v>
      </c>
    </row>
    <row r="8" spans="1:7" x14ac:dyDescent="0.25">
      <c r="A8" t="s">
        <v>202</v>
      </c>
      <c r="B8" t="s">
        <v>32</v>
      </c>
      <c r="C8" t="s">
        <v>58</v>
      </c>
      <c r="E8" t="str">
        <f t="shared" si="0"/>
        <v>BrandName</v>
      </c>
      <c r="F8" t="s">
        <v>207</v>
      </c>
      <c r="G8" t="s">
        <v>208</v>
      </c>
    </row>
    <row r="9" spans="1:7" x14ac:dyDescent="0.25">
      <c r="A9" t="s">
        <v>203</v>
      </c>
      <c r="B9" t="s">
        <v>32</v>
      </c>
      <c r="C9" t="s">
        <v>58</v>
      </c>
      <c r="E9" t="str">
        <f t="shared" si="0"/>
        <v>Prescriber</v>
      </c>
      <c r="F9" t="s">
        <v>207</v>
      </c>
      <c r="G9" t="s">
        <v>209</v>
      </c>
    </row>
    <row r="10" spans="1:7" x14ac:dyDescent="0.25">
      <c r="A10" t="s">
        <v>204</v>
      </c>
      <c r="B10" t="s">
        <v>32</v>
      </c>
      <c r="C10" t="s">
        <v>58</v>
      </c>
      <c r="E10" t="str">
        <f t="shared" si="0"/>
        <v>Dose</v>
      </c>
      <c r="F10" t="s">
        <v>207</v>
      </c>
      <c r="G10" t="s">
        <v>210</v>
      </c>
    </row>
    <row r="11" spans="1:7" x14ac:dyDescent="0.25">
      <c r="A11" t="s">
        <v>205</v>
      </c>
      <c r="B11" t="s">
        <v>32</v>
      </c>
      <c r="C11" t="s">
        <v>58</v>
      </c>
      <c r="E11" t="str">
        <f t="shared" si="0"/>
        <v>Instructions</v>
      </c>
      <c r="F11" t="s">
        <v>207</v>
      </c>
      <c r="G11" t="s">
        <v>211</v>
      </c>
    </row>
    <row r="12" spans="1:7" x14ac:dyDescent="0.25">
      <c r="A12" t="s">
        <v>206</v>
      </c>
      <c r="B12" t="s">
        <v>32</v>
      </c>
      <c r="C12" t="s">
        <v>58</v>
      </c>
      <c r="E12" t="str">
        <f t="shared" si="0"/>
        <v>Warnings</v>
      </c>
      <c r="F12" t="s">
        <v>207</v>
      </c>
      <c r="G12" t="s">
        <v>212</v>
      </c>
    </row>
    <row r="13" spans="1:7" x14ac:dyDescent="0.25">
      <c r="A13" t="s">
        <v>31</v>
      </c>
      <c r="B13" t="s">
        <v>32</v>
      </c>
      <c r="C13" t="s">
        <v>58</v>
      </c>
      <c r="E13" t="str">
        <f t="shared" ref="E13" si="1">A13</f>
        <v>Notes</v>
      </c>
      <c r="F13" t="s">
        <v>138</v>
      </c>
      <c r="G13" t="s">
        <v>111</v>
      </c>
    </row>
    <row r="14" spans="1:7" x14ac:dyDescent="0.25">
      <c r="E14" t="s">
        <v>69</v>
      </c>
      <c r="F14" t="s">
        <v>70</v>
      </c>
      <c r="G14" t="s">
        <v>71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4"/>
  <sheetViews>
    <sheetView topLeftCell="A20" workbookViewId="0">
      <selection activeCell="B4" sqref="B4:C24"/>
    </sheetView>
  </sheetViews>
  <sheetFormatPr defaultRowHeight="15" x14ac:dyDescent="0.25"/>
  <cols>
    <col min="1" max="1" width="46.5703125" style="1" customWidth="1"/>
    <col min="2" max="2" width="15.7109375" style="1" customWidth="1"/>
    <col min="3" max="3" width="14.140625" bestFit="1" customWidth="1"/>
    <col min="5" max="5" width="31.85546875" customWidth="1"/>
  </cols>
  <sheetData>
    <row r="1" spans="1:5" x14ac:dyDescent="0.25">
      <c r="A1" s="1" t="s">
        <v>30</v>
      </c>
      <c r="B1" s="1" t="s">
        <v>29</v>
      </c>
      <c r="C1" t="s">
        <v>28</v>
      </c>
      <c r="D1" t="s">
        <v>27</v>
      </c>
      <c r="E1" t="s">
        <v>26</v>
      </c>
    </row>
    <row r="2" spans="1:5" ht="139.5" customHeight="1" x14ac:dyDescent="0.25">
      <c r="A2" s="1" t="s">
        <v>0</v>
      </c>
      <c r="E2" t="s">
        <v>25</v>
      </c>
    </row>
    <row r="3" spans="1:5" x14ac:dyDescent="0.25">
      <c r="E3" t="s">
        <v>24</v>
      </c>
    </row>
    <row r="4" spans="1:5" ht="90" x14ac:dyDescent="0.25">
      <c r="A4" s="1" t="str">
        <f>IF(C4="INT",SUBSTITUTE($A$2,"&lt;param&gt;",B4),"--")</f>
        <v>DECLARE @UserID2 INT;
Set @UserID2 = TRY_CONVERT(INT, @UserID);
IF @UserID = ''
BEGIN
    Set @UserID2 = NULL;
END</v>
      </c>
      <c r="B4" s="1" t="s">
        <v>1</v>
      </c>
      <c r="C4" t="s">
        <v>17</v>
      </c>
      <c r="D4">
        <v>1</v>
      </c>
      <c r="E4" t="str">
        <f>SUBSTITUTE(SUBSTITUTE($E$2, "&lt;rownum&gt;", D4), "&lt;colname&gt;", B4)</f>
        <v>$cols["1"] = "UserID";</v>
      </c>
    </row>
    <row r="5" spans="1:5" ht="90" x14ac:dyDescent="0.25">
      <c r="A5" s="1" t="str">
        <f t="shared" ref="A5:A24" si="0">IF(C5="INT",SUBSTITUTE($A$2,"&lt;param&gt;",B5),"--")</f>
        <v>DECLARE @LocalDietID2 INT;
Set @LocalDietID2 = TRY_CONVERT(INT, @LocalDietID);
IF @LocalDietID = ''
BEGIN
    Set @LocalDietID2 = NULL;
END</v>
      </c>
      <c r="B5" s="1" t="s">
        <v>2</v>
      </c>
      <c r="C5" t="s">
        <v>17</v>
      </c>
      <c r="D5">
        <v>2</v>
      </c>
      <c r="E5" t="str">
        <f t="shared" ref="E5:E24" si="1">SUBSTITUTE(SUBSTITUTE($E$2, "&lt;rownum&gt;", D5), "&lt;colname&gt;", B5)</f>
        <v>$cols["2"] = "LocalDietID";</v>
      </c>
    </row>
    <row r="6" spans="1:5" ht="90" x14ac:dyDescent="0.25">
      <c r="A6" s="1" t="str">
        <f t="shared" si="0"/>
        <v>--</v>
      </c>
      <c r="B6" s="1" t="s">
        <v>18</v>
      </c>
      <c r="C6" t="s">
        <v>19</v>
      </c>
      <c r="D6">
        <v>3</v>
      </c>
      <c r="E6" t="str">
        <f t="shared" si="1"/>
        <v>$cols["3"] = "Date";</v>
      </c>
    </row>
    <row r="7" spans="1:5" ht="90" x14ac:dyDescent="0.25">
      <c r="A7" s="1" t="str">
        <f t="shared" si="0"/>
        <v>--</v>
      </c>
      <c r="B7" s="1" t="s">
        <v>20</v>
      </c>
      <c r="C7" t="s">
        <v>21</v>
      </c>
      <c r="D7">
        <v>4</v>
      </c>
      <c r="E7" t="str">
        <f t="shared" si="1"/>
        <v>$cols["4"] = "FoodType";</v>
      </c>
    </row>
    <row r="8" spans="1:5" ht="90" x14ac:dyDescent="0.25">
      <c r="A8" s="1" t="str">
        <f t="shared" si="0"/>
        <v>--</v>
      </c>
      <c r="B8" s="1" t="s">
        <v>22</v>
      </c>
      <c r="C8" t="s">
        <v>23</v>
      </c>
      <c r="D8">
        <v>5</v>
      </c>
      <c r="E8" t="str">
        <f t="shared" si="1"/>
        <v>$cols["5"] = "Meal";</v>
      </c>
    </row>
    <row r="9" spans="1:5" ht="90" x14ac:dyDescent="0.25">
      <c r="A9" s="1" t="str">
        <f t="shared" si="0"/>
        <v>--</v>
      </c>
      <c r="B9" s="1" t="s">
        <v>33</v>
      </c>
      <c r="C9" t="s">
        <v>23</v>
      </c>
      <c r="D9">
        <v>6</v>
      </c>
      <c r="E9" t="str">
        <f t="shared" si="1"/>
        <v>$cols["6"] = "ServingSize";</v>
      </c>
    </row>
    <row r="10" spans="1:5" ht="90" x14ac:dyDescent="0.25">
      <c r="A10" s="1" t="str">
        <f t="shared" si="0"/>
        <v>DECLARE @Calories2 INT;
Set @Calories2 = TRY_CONVERT(INT, @Calories);
IF @Calories = ''
BEGIN
    Set @Calories2 = NULL;
END</v>
      </c>
      <c r="B10" s="1" t="s">
        <v>3</v>
      </c>
      <c r="C10" t="s">
        <v>17</v>
      </c>
      <c r="D10">
        <v>7</v>
      </c>
      <c r="E10" t="str">
        <f t="shared" si="1"/>
        <v>$cols["7"] = "Calories";</v>
      </c>
    </row>
    <row r="11" spans="1:5" ht="90" x14ac:dyDescent="0.25">
      <c r="A11" s="1" t="str">
        <f t="shared" si="0"/>
        <v>DECLARE @TotalFat2 INT;
Set @TotalFat2 = TRY_CONVERT(INT, @TotalFat);
IF @TotalFat = ''
BEGIN
    Set @TotalFat2 = NULL;
END</v>
      </c>
      <c r="B11" s="1" t="s">
        <v>4</v>
      </c>
      <c r="C11" t="s">
        <v>17</v>
      </c>
      <c r="D11">
        <v>8</v>
      </c>
      <c r="E11" t="str">
        <f t="shared" si="1"/>
        <v>$cols["8"] = "TotalFat";</v>
      </c>
    </row>
    <row r="12" spans="1:5" ht="90" x14ac:dyDescent="0.25">
      <c r="A12" s="1" t="str">
        <f t="shared" si="0"/>
        <v>DECLARE @SaturatedFat2 INT;
Set @SaturatedFat2 = TRY_CONVERT(INT, @SaturatedFat);
IF @SaturatedFat = ''
BEGIN
    Set @SaturatedFat2 = NULL;
END</v>
      </c>
      <c r="B12" s="1" t="s">
        <v>5</v>
      </c>
      <c r="C12" t="s">
        <v>17</v>
      </c>
      <c r="D12">
        <v>9</v>
      </c>
      <c r="E12" t="str">
        <f t="shared" si="1"/>
        <v>$cols["9"] = "SaturatedFat";</v>
      </c>
    </row>
    <row r="13" spans="1:5" ht="90" x14ac:dyDescent="0.25">
      <c r="A13" s="1" t="str">
        <f t="shared" si="0"/>
        <v>DECLARE @TransFat2 INT;
Set @TransFat2 = TRY_CONVERT(INT, @TransFat);
IF @TransFat = ''
BEGIN
    Set @TransFat2 = NULL;
END</v>
      </c>
      <c r="B13" s="1" t="s">
        <v>6</v>
      </c>
      <c r="C13" t="s">
        <v>17</v>
      </c>
      <c r="D13">
        <v>10</v>
      </c>
      <c r="E13" t="str">
        <f t="shared" si="1"/>
        <v>$cols["10"] = "TransFat";</v>
      </c>
    </row>
    <row r="14" spans="1:5" ht="90" x14ac:dyDescent="0.25">
      <c r="A14" s="1" t="str">
        <f t="shared" si="0"/>
        <v>DECLARE @Cholesterol2 INT;
Set @Cholesterol2 = TRY_CONVERT(INT, @Cholesterol);
IF @Cholesterol = ''
BEGIN
    Set @Cholesterol2 = NULL;
END</v>
      </c>
      <c r="B14" s="1" t="s">
        <v>7</v>
      </c>
      <c r="C14" t="s">
        <v>17</v>
      </c>
      <c r="D14">
        <v>11</v>
      </c>
      <c r="E14" t="str">
        <f t="shared" si="1"/>
        <v>$cols["11"] = "Cholesterol";</v>
      </c>
    </row>
    <row r="15" spans="1:5" ht="90" x14ac:dyDescent="0.25">
      <c r="A15" s="1" t="str">
        <f t="shared" si="0"/>
        <v>DECLARE @Sodium2 INT;
Set @Sodium2 = TRY_CONVERT(INT, @Sodium);
IF @Sodium = ''
BEGIN
    Set @Sodium2 = NULL;
END</v>
      </c>
      <c r="B15" s="1" t="s">
        <v>8</v>
      </c>
      <c r="C15" t="s">
        <v>17</v>
      </c>
      <c r="D15">
        <v>12</v>
      </c>
      <c r="E15" t="str">
        <f t="shared" si="1"/>
        <v>$cols["12"] = "Sodium";</v>
      </c>
    </row>
    <row r="16" spans="1:5" ht="90" x14ac:dyDescent="0.25">
      <c r="A16" s="1" t="str">
        <f t="shared" si="0"/>
        <v>DECLARE @TotalCarbs2 INT;
Set @TotalCarbs2 = TRY_CONVERT(INT, @TotalCarbs);
IF @TotalCarbs = ''
BEGIN
    Set @TotalCarbs2 = NULL;
END</v>
      </c>
      <c r="B16" s="1" t="s">
        <v>9</v>
      </c>
      <c r="C16" t="s">
        <v>17</v>
      </c>
      <c r="D16">
        <v>13</v>
      </c>
      <c r="E16" t="str">
        <f t="shared" si="1"/>
        <v>$cols["13"] = "TotalCarbs";</v>
      </c>
    </row>
    <row r="17" spans="1:5" ht="90" x14ac:dyDescent="0.25">
      <c r="A17" s="1" t="str">
        <f t="shared" si="0"/>
        <v>DECLARE @DietaryFiber2 INT;
Set @DietaryFiber2 = TRY_CONVERT(INT, @DietaryFiber);
IF @DietaryFiber = ''
BEGIN
    Set @DietaryFiber2 = NULL;
END</v>
      </c>
      <c r="B17" s="1" t="s">
        <v>10</v>
      </c>
      <c r="C17" t="s">
        <v>17</v>
      </c>
      <c r="D17">
        <v>14</v>
      </c>
      <c r="E17" t="str">
        <f t="shared" si="1"/>
        <v>$cols["14"] = "DietaryFiber";</v>
      </c>
    </row>
    <row r="18" spans="1:5" ht="90" x14ac:dyDescent="0.25">
      <c r="A18" s="1" t="str">
        <f t="shared" si="0"/>
        <v>DECLARE @Sugars2 INT;
Set @Sugars2 = TRY_CONVERT(INT, @Sugars);
IF @Sugars = ''
BEGIN
    Set @Sugars2 = NULL;
END</v>
      </c>
      <c r="B18" s="1" t="s">
        <v>11</v>
      </c>
      <c r="C18" t="s">
        <v>17</v>
      </c>
      <c r="D18">
        <v>15</v>
      </c>
      <c r="E18" t="str">
        <f t="shared" si="1"/>
        <v>$cols["15"] = "Sugars";</v>
      </c>
    </row>
    <row r="19" spans="1:5" ht="90" x14ac:dyDescent="0.25">
      <c r="A19" s="1" t="str">
        <f t="shared" si="0"/>
        <v>DECLARE @Protein2 INT;
Set @Protein2 = TRY_CONVERT(INT, @Protein);
IF @Protein = ''
BEGIN
    Set @Protein2 = NULL;
END</v>
      </c>
      <c r="B19" s="1" t="s">
        <v>12</v>
      </c>
      <c r="C19" t="s">
        <v>17</v>
      </c>
      <c r="D19">
        <v>16</v>
      </c>
      <c r="E19" t="str">
        <f t="shared" si="1"/>
        <v>$cols["16"] = "Protein";</v>
      </c>
    </row>
    <row r="20" spans="1:5" ht="90" x14ac:dyDescent="0.25">
      <c r="A20" s="1" t="str">
        <f t="shared" si="0"/>
        <v>DECLARE @VitaminA2 INT;
Set @VitaminA2 = TRY_CONVERT(INT, @VitaminA);
IF @VitaminA = ''
BEGIN
    Set @VitaminA2 = NULL;
END</v>
      </c>
      <c r="B20" s="1" t="s">
        <v>13</v>
      </c>
      <c r="C20" t="s">
        <v>17</v>
      </c>
      <c r="D20">
        <v>17</v>
      </c>
      <c r="E20" t="str">
        <f t="shared" si="1"/>
        <v>$cols["17"] = "VitaminA";</v>
      </c>
    </row>
    <row r="21" spans="1:5" ht="90" x14ac:dyDescent="0.25">
      <c r="A21" s="1" t="str">
        <f t="shared" si="0"/>
        <v>DECLARE @VitaminB2 INT;
Set @VitaminB2 = TRY_CONVERT(INT, @VitaminB);
IF @VitaminB = ''
BEGIN
    Set @VitaminB2 = NULL;
END</v>
      </c>
      <c r="B21" s="1" t="s">
        <v>14</v>
      </c>
      <c r="C21" t="s">
        <v>17</v>
      </c>
      <c r="D21">
        <v>18</v>
      </c>
      <c r="E21" t="str">
        <f t="shared" si="1"/>
        <v>$cols["18"] = "VitaminB";</v>
      </c>
    </row>
    <row r="22" spans="1:5" ht="90" x14ac:dyDescent="0.25">
      <c r="A22" s="1" t="str">
        <f t="shared" si="0"/>
        <v>DECLARE @Calcium2 INT;
Set @Calcium2 = TRY_CONVERT(INT, @Calcium);
IF @Calcium = ''
BEGIN
    Set @Calcium2 = NULL;
END</v>
      </c>
      <c r="B22" s="1" t="s">
        <v>15</v>
      </c>
      <c r="C22" t="s">
        <v>17</v>
      </c>
      <c r="D22">
        <v>19</v>
      </c>
      <c r="E22" t="str">
        <f t="shared" si="1"/>
        <v>$cols["19"] = "Calcium";</v>
      </c>
    </row>
    <row r="23" spans="1:5" ht="90" x14ac:dyDescent="0.25">
      <c r="A23" s="1" t="str">
        <f t="shared" si="0"/>
        <v>DECLARE @Iron2 INT;
Set @Iron2 = TRY_CONVERT(INT, @Iron);
IF @Iron = ''
BEGIN
    Set @Iron2 = NULL;
END</v>
      </c>
      <c r="B23" s="1" t="s">
        <v>16</v>
      </c>
      <c r="C23" t="s">
        <v>17</v>
      </c>
      <c r="D23">
        <v>20</v>
      </c>
      <c r="E23" t="str">
        <f t="shared" si="1"/>
        <v>$cols["20"] = "Iron";</v>
      </c>
    </row>
    <row r="24" spans="1:5" x14ac:dyDescent="0.25">
      <c r="A24" s="1" t="str">
        <f t="shared" si="0"/>
        <v>--</v>
      </c>
      <c r="B24" s="1" t="s">
        <v>31</v>
      </c>
      <c r="C24" t="s">
        <v>32</v>
      </c>
      <c r="D24">
        <v>21</v>
      </c>
      <c r="E24" t="str">
        <f t="shared" si="1"/>
        <v>$cols["21"] = "Notes";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MedicationOutput</vt:lpstr>
      <vt:lpstr>Medication</vt:lpstr>
      <vt:lpstr>Diet-Deprecated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2016-04-04T09:59:44Z</dcterms:modified>
</cp:coreProperties>
</file>